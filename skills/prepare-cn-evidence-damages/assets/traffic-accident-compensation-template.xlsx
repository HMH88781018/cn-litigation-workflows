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e3b411e90249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cc3172006759468d"/>
    <x:sheet xmlns:r="http://schemas.openxmlformats.org/officeDocument/2006/relationships" name="01_案件参数" sheetId="2" r:id="R8c2343ca0f464cd1"/>
    <x:sheet xmlns:r="http://schemas.openxmlformats.org/officeDocument/2006/relationships" name="02_赔偿项目" sheetId="3" r:id="Rc2c01d3bdb5b4f5c"/>
    <x:sheet xmlns:r="http://schemas.openxmlformats.org/officeDocument/2006/relationships" name="03_被扶养人" sheetId="4" r:id="Raf568bfd606d46ad"/>
    <x:sheet xmlns:r="http://schemas.openxmlformats.org/officeDocument/2006/relationships" name="04_保险分配" sheetId="5" r:id="R5a9b5c7148e24758"/>
    <x:sheet xmlns:r="http://schemas.openxmlformats.org/officeDocument/2006/relationships" name="05_已付款" sheetId="6" r:id="R21463a0170184f48"/>
    <x:sheet xmlns:r="http://schemas.openxmlformats.org/officeDocument/2006/relationships" name="06_证据映射" sheetId="7" r:id="R6559a814650e400f"/>
    <x:sheet xmlns:r="http://schemas.openxmlformats.org/officeDocument/2006/relationships" name="07_法源参数" sheetId="8" r:id="R23d7dc282f484d6d"/>
    <x:sheet xmlns:r="http://schemas.openxmlformats.org/officeDocument/2006/relationships" name="08_核对报警" sheetId="9" r:id="R80146cc0b83a438d"/>
    <x:sheet xmlns:r="http://schemas.openxmlformats.org/officeDocument/2006/relationships" name="09_边界测试" sheetId="10" r:id="Ra8ca0fdf135245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"/>
    <x:numFmt numFmtId="201" formatCode="yyyy-mm-dd"/>
    <x:numFmt numFmtId="202" formatCode="0.00%"/>
    <x:numFmt numFmtId="203" formatCode="#,##0.00&quot;元&quot;"/>
    <x:numFmt numFmtId="204" formatCode="0.00"/>
    <x:numFmt numFmtId="205" formatCode="0.0000"/>
    <x:numFmt numFmtId="206" formatCode="0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  <x:font>
      <x:b/>
      <x:sz val="14"/>
      <x:color rgb="FF006100"/>
      <x:name val="Carlito"/>
    </x:font>
    <x:font>
      <x:b/>
      <x:sz val="16"/>
      <x:color rgb="FFFFFFFF"/>
      <x:name val="Noto Sans CJK SC"/>
    </x:font>
    <x:font>
      <x:i/>
      <x:sz val="10"/>
      <x:color rgb="FF1F2937"/>
      <x:name val="Noto Sans CJK SC"/>
    </x:font>
    <x:font>
      <x:sz val="11"/>
      <x:name val="Noto Sans CJK SC"/>
    </x:font>
    <x:font>
      <x:b/>
      <x:sz val="11"/>
      <x:color rgb="FFFFFFFF"/>
      <x:name val="Noto Sans CJK SC"/>
    </x:font>
    <x:font>
      <x:b/>
      <x:sz val="11"/>
      <x:color rgb="FF1F2937"/>
      <x:name val="Noto Sans CJK SC"/>
    </x:font>
    <x:font>
      <x:b/>
      <x:sz val="11"/>
      <x:name val="Noto Sans CJK SC"/>
    </x:font>
    <x:font>
      <x:b/>
      <x:sz val="14"/>
      <x:color rgb="FF006100"/>
      <x:name val="Noto Sans CJK SC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EFF"/>
      </x:patternFill>
    </x:fill>
    <x:fill>
      <x:patternFill patternType="solid">
        <x:fgColor rgb="FFFFF4CC"/>
      </x:patternFill>
    </x:fill>
    <x:fill>
      <x:patternFill patternType="solid">
        <x:fgColor rgb="FFEADCF8"/>
      </x:patternFill>
    </x:fill>
    <x:fill>
      <x:patternFill patternType="solid">
        <x:fgColor rgb="FFE7E9ED"/>
      </x:patternFill>
    </x:fill>
    <x:fill>
      <x:patternFill patternType="solid">
        <x:fgColor rgb="FFE2F0D9"/>
      </x:patternFill>
    </x:fill>
    <x:fill>
      <x:patternFill patternType="solid">
        <x:fgColor rgb="FFFCE8E6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vertical="center" wrapText="1"/>
    </x:xf>
    <x:xf numFmtId="201" fontId="0" fillId="3" borderId="1" xfId="0" applyNumberFormat="1" applyFont="1" applyFill="1" applyBorder="1" applyAlignment="1">
      <x:alignment vertical="center" wrapText="1"/>
    </x:xf>
    <x:xf numFmtId="201" fontId="0" fillId="4" borderId="1" xfId="0" applyNumberFormat="1" applyFont="1" applyFill="1" applyBorder="1" applyAlignment="1">
      <x:alignment vertical="center" wrapText="1"/>
    </x:xf>
    <x:xf numFmtId="201" fontId="0" fillId="6" borderId="1" xfId="0" applyNumberFormat="1" applyFont="1" applyFill="1" applyBorder="1" applyAlignment="1">
      <x:alignment vertical="center" wrapText="1"/>
    </x:xf>
    <x:xf numFmtId="202" fontId="0" fillId="5" borderId="1" xfId="0" applyNumberFormat="1" applyFont="1" applyFill="1" applyBorder="1" applyAlignment="1">
      <x:alignment vertical="center" wrapText="1"/>
    </x:xf>
    <x:xf numFmtId="203" fontId="0" fillId="5" borderId="1" xfId="0" applyNumberFormat="1" applyFont="1" applyFill="1" applyBorder="1" applyAlignment="1">
      <x:alignment vertical="center" wrapText="1"/>
    </x:xf>
    <x:xf numFmtId="202" fontId="0" fillId="6" borderId="1" xfId="0" applyNumberFormat="1" applyFont="1" applyFill="1" applyBorder="1" applyAlignment="1">
      <x:alignment vertical="center" wrapText="1"/>
    </x:xf>
    <x:xf numFmtId="203" fontId="0" fillId="6" borderId="1" xfId="0" applyNumberFormat="1" applyFont="1" applyFill="1" applyBorder="1" applyAlignment="1">
      <x:alignment vertical="center" wrapText="1"/>
    </x:xf>
    <x:xf numFmtId="204" fontId="0" fillId="6" borderId="1" xfId="0" applyNumberFormat="1" applyFont="1" applyFill="1" applyBorder="1" applyAlignment="1">
      <x:alignment vertical="center" wrapText="1"/>
    </x:xf>
    <x:xf numFmtId="203" fontId="0" fillId="7" borderId="1" xfId="0" applyNumberFormat="1" applyFont="1" applyFill="1" applyBorder="1" applyAlignment="1">
      <x:alignment vertical="center" wrapText="1"/>
    </x:xf>
    <x:xf numFmtId="203" fontId="0" fillId="4" borderId="1" xfId="0" applyNumberFormat="1" applyFont="1" applyFill="1" applyBorder="1" applyAlignment="1">
      <x:alignment vertical="center" wrapText="1"/>
    </x:xf>
    <x:xf numFmtId="205" fontId="0" fillId="4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 wrapText="1"/>
    </x:xf>
    <x:xf numFmtId="203" fontId="0" fillId="8" borderId="1" xfId="0" applyNumberFormat="1" applyFont="1" applyFill="1" applyBorder="1" applyAlignment="1">
      <x:alignment vertical="center" wrapText="1"/>
    </x:xf>
    <x:xf numFmtId="206" fontId="0" fillId="4" borderId="1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  <x:xf numFmtId="203" fontId="0" fillId="3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10" fillId="2" borderId="1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11" fillId="9" borderId="1" xfId="0" applyNumberFormat="1" applyFont="1" applyFill="1" applyBorder="1" applyAlignment="1">
      <x:alignment wrapText="1"/>
    </x:xf>
    <x:xf numFmtId="201" fontId="9" fillId="4" borderId="1" xfId="0" applyNumberFormat="1" applyFont="1" applyFill="1" applyBorder="1" applyAlignment="1">
      <x:alignment vertical="center" wrapText="1"/>
    </x:xf>
    <x:xf numFmtId="201" fontId="9" fillId="6" borderId="1" xfId="0" applyNumberFormat="1" applyFont="1" applyFill="1" applyBorder="1" applyAlignment="1">
      <x:alignment vertical="center" wrapText="1"/>
    </x:xf>
    <x:xf numFmtId="202" fontId="9" fillId="5" borderId="1" xfId="0" applyNumberFormat="1" applyFont="1" applyFill="1" applyBorder="1" applyAlignment="1">
      <x:alignment vertical="center" wrapText="1"/>
    </x:xf>
    <x:xf numFmtId="203" fontId="9" fillId="5" borderId="1" xfId="0" applyNumberFormat="1" applyFont="1" applyFill="1" applyBorder="1" applyAlignment="1">
      <x:alignment vertical="center" wrapText="1"/>
    </x:xf>
    <x:xf numFmtId="203" fontId="9" fillId="6" borderId="1" xfId="0" applyNumberFormat="1" applyFont="1" applyFill="1" applyBorder="1" applyAlignment="1">
      <x:alignment vertical="center" wrapText="1"/>
    </x:xf>
    <x:xf numFmtId="203" fontId="9" fillId="4" borderId="1" xfId="0" applyNumberFormat="1" applyFont="1" applyFill="1" applyBorder="1" applyAlignment="1">
      <x:alignment vertical="center" wrapText="1"/>
    </x:xf>
    <x:xf numFmtId="205" fontId="9" fillId="4" borderId="1" xfId="0" applyNumberFormat="1" applyFont="1" applyFill="1" applyBorder="1" applyAlignment="1">
      <x:alignment vertical="center" wrapText="1"/>
    </x:xf>
    <x:xf numFmtId="203" fontId="9" fillId="7" borderId="1" xfId="0" applyNumberFormat="1" applyFont="1" applyFill="1" applyBorder="1" applyAlignment="1">
      <x:alignment vertical="center" wrapText="1"/>
    </x:xf>
    <x:xf numFmtId="202" fontId="9" fillId="6" borderId="1" xfId="0" applyNumberFormat="1" applyFont="1" applyFill="1" applyBorder="1" applyAlignment="1">
      <x:alignment vertical="center" wrapText="1"/>
    </x:xf>
    <x:xf numFmtId="204" fontId="9" fillId="6" borderId="1" xfId="0" applyNumberFormat="1" applyFont="1" applyFill="1" applyBorder="1" applyAlignment="1">
      <x:alignment vertical="center" wrapText="1"/>
    </x:xf>
    <x:xf numFmtId="203" fontId="9" fillId="8" borderId="1" xfId="0" applyNumberFormat="1" applyFont="1" applyFill="1" applyBorder="1" applyAlignment="1">
      <x:alignment vertical="center" wrapText="1"/>
    </x:xf>
    <x:xf numFmtId="206" fontId="9" fillId="4" borderId="1" xfId="0" applyNumberFormat="1" applyFont="1" applyFill="1" applyBorder="1" applyAlignment="1">
      <x:alignment vertical="center" wrapText="1"/>
    </x:xf>
    <x:xf numFmtId="0" fontId="12" fillId="9" borderId="1" xfId="0" applyNumberFormat="1" applyFont="1" applyFill="1" applyBorder="1" applyAlignment="1">
      <x:alignment wrapText="1"/>
    </x:xf>
    <x:xf numFmtId="200" fontId="9" fillId="3" borderId="1" xfId="0" applyNumberFormat="1" applyFont="1" applyFill="1" applyBorder="1" applyAlignment="1">
      <x:alignment vertical="center" wrapText="1"/>
    </x:xf>
    <x:xf numFmtId="201" fontId="9" fillId="3" borderId="1" xfId="0" applyNumberFormat="1" applyFont="1" applyFill="1" applyBorder="1" applyAlignment="1">
      <x:alignment vertical="center" wrapText="1"/>
    </x:xf>
    <x:xf numFmtId="0" fontId="13" fillId="7" borderId="1" xfId="0" applyNumberFormat="1" applyFont="1" applyFill="1" applyBorder="1" applyAlignment="1">
      <x:alignment vertical="center" wrapText="1"/>
    </x:xf>
    <x:xf numFmtId="203" fontId="9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7cc19769f4fe3" /><Relationship Type="http://schemas.openxmlformats.org/officeDocument/2006/relationships/theme" Target="/xl/theme/theme1.xml" Id="R4b193ec150da47ee" /><Relationship Type="http://schemas.openxmlformats.org/officeDocument/2006/relationships/sharedStrings" Target="/xl/sharedStrings.xml" Id="Rc3f02947acf54c56" /><Relationship Type="http://schemas.openxmlformats.org/officeDocument/2006/relationships/worksheet" Target="/xl/worksheets/sheet1.xml" Id="Rcc3172006759468d" /><Relationship Type="http://schemas.openxmlformats.org/officeDocument/2006/relationships/worksheet" Target="/xl/worksheets/sheet2.xml" Id="R8c2343ca0f464cd1" /><Relationship Type="http://schemas.openxmlformats.org/officeDocument/2006/relationships/worksheet" Target="/xl/worksheets/sheet3.xml" Id="Rc2c01d3bdb5b4f5c" /><Relationship Type="http://schemas.openxmlformats.org/officeDocument/2006/relationships/worksheet" Target="/xl/worksheets/sheet4.xml" Id="Raf568bfd606d46ad" /><Relationship Type="http://schemas.openxmlformats.org/officeDocument/2006/relationships/worksheet" Target="/xl/worksheets/sheet5.xml" Id="R5a9b5c7148e24758" /><Relationship Type="http://schemas.openxmlformats.org/officeDocument/2006/relationships/worksheet" Target="/xl/worksheets/sheet6.xml" Id="R21463a0170184f48" /><Relationship Type="http://schemas.openxmlformats.org/officeDocument/2006/relationships/worksheet" Target="/xl/worksheets/sheet7.xml" Id="R6559a814650e400f" /><Relationship Type="http://schemas.openxmlformats.org/officeDocument/2006/relationships/worksheet" Target="/xl/worksheets/sheet8.xml" Id="R23d7dc282f484d6d" /><Relationship Type="http://schemas.openxmlformats.org/officeDocument/2006/relationships/worksheet" Target="/xl/worksheets/sheet9.xml" Id="R80146cc0b83a438d" /><Relationship Type="http://schemas.openxmlformats.org/officeDocument/2006/relationships/worksheet" Target="/xl/worksheets/sheet10.xml" Id="Ra8ca0fdf135245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24" hidden="0" customWidth="1"/>
    <x:col min="4" max="4" width="13" hidden="0" customWidth="1"/>
    <x:col min="5" max="5" width="18" hidden="0" customWidth="1"/>
    <x:col min="6" max="6" width="22" hidden="0" customWidth="1"/>
    <x:col min="7" max="7" width="22" hidden="0" customWidth="1"/>
    <x:col min="8" max="8" width="24" hidden="0" customWidth="1"/>
  </x:cols>
  <x:sheetData>
    <x:row r="1" ht="30" customHeight="1">
      <x:c r="A1" s="50" t="str">
        <x:v>道路交通事故赔偿计算表（审计模板）</x:v>
      </x:c>
      <x:c r="B1" s="50"/>
      <x:c r="C1" s="50"/>
      <x:c r="D1" s="50"/>
      <x:c r="E1" s="50"/>
      <x:c r="F1" s="50"/>
      <x:c r="G1" s="50"/>
      <x:c r="H1" s="50"/>
    </x:row>
    <x:row r="2" ht="32" customHeight="1">
      <x:c r="A2" s="51" t="str">
        <x:v>状态默认 DRAFT。先核对案件、法源、统计数据、保单和证据，再决定是否主张；本模板不替代律师判断或法院母版。</x:v>
      </x:c>
      <x:c r="B2" s="51"/>
      <x:c r="C2" s="51"/>
      <x:c r="D2" s="51"/>
      <x:c r="E2" s="51"/>
      <x:c r="F2" s="51"/>
      <x:c r="G2" s="51"/>
      <x:c r="H2" s="51"/>
    </x:row>
    <x:row r="3">
      <x:c r="A3" s="52"/>
      <x:c r="B3" s="52"/>
      <x:c r="C3" s="52"/>
      <x:c r="D3" s="52"/>
      <x:c r="E3" s="52"/>
      <x:c r="F3" s="52"/>
      <x:c r="G3" s="52"/>
      <x:c r="H3" s="52"/>
    </x:row>
    <x:row r="4">
      <x:c r="A4" s="53" t="str">
        <x:v>角色</x:v>
      </x:c>
      <x:c r="B4" s="53" t="str">
        <x:v>颜色</x:v>
      </x:c>
      <x:c r="C4" s="53" t="str">
        <x:v>填写责任</x:v>
      </x:c>
      <x:c r="D4" s="53" t="str">
        <x:v>允许修改</x:v>
      </x:c>
      <x:c r="E4" s="53" t="str">
        <x:v>不得替代</x:v>
      </x:c>
      <x:c r="F4" s="53" t="str">
        <x:v>复核要求</x:v>
      </x:c>
      <x:c r="G4" s="53" t="str">
        <x:v>常见风险</x:v>
      </x:c>
      <x:c r="H4" s="53" t="str">
        <x:v>完成标志</x:v>
      </x:c>
    </x:row>
    <x:row r="5">
      <x:c r="A5" s="54" t="str">
        <x:v>案件输入</x:v>
      </x:c>
      <x:c r="B5" s="55" t="str">
        <x:v>浅黄</x:v>
      </x:c>
      <x:c r="C5" s="54" t="str">
        <x:v>当事人/承办人</x:v>
      </x:c>
      <x:c r="D5" s="54" t="str">
        <x:v>事实与数字</x:v>
      </x:c>
      <x:c r="E5" s="54" t="str">
        <x:v>证据原件</x:v>
      </x:c>
      <x:c r="F5" s="54" t="str">
        <x:v>逐项核实</x:v>
      </x:c>
      <x:c r="G5" s="54" t="str">
        <x:v>把缺失误当作0</x:v>
      </x:c>
      <x:c r="H5" s="54" t="str">
        <x:v>来源明确</x:v>
      </x:c>
    </x:row>
    <x:row r="6">
      <x:c r="A6" s="54" t="str">
        <x:v>来源参数</x:v>
      </x:c>
      <x:c r="B6" s="56" t="str">
        <x:v>浅蓝</x:v>
      </x:c>
      <x:c r="C6" s="54" t="str">
        <x:v>承办人</x:v>
      </x:c>
      <x:c r="D6" s="54" t="str">
        <x:v>官方统计/法定参数</x:v>
      </x:c>
      <x:c r="E6" s="54" t="str">
        <x:v>本案法源核验</x:v>
      </x:c>
      <x:c r="F6" s="54" t="str">
        <x:v>记录URL与日期</x:v>
      </x:c>
      <x:c r="G6" s="54" t="str">
        <x:v>使用旧年度</x:v>
      </x:c>
      <x:c r="H6" s="54" t="str">
        <x:v>已核验</x:v>
      </x:c>
    </x:row>
    <x:row r="7">
      <x:c r="A7" s="54" t="str">
        <x:v>人工判断</x:v>
      </x:c>
      <x:c r="B7" s="57" t="str">
        <x:v>浅紫</x:v>
      </x:c>
      <x:c r="C7" s="54" t="str">
        <x:v>律师</x:v>
      </x:c>
      <x:c r="D7" s="54" t="str">
        <x:v>责任、系数、条款采用</x:v>
      </x:c>
      <x:c r="E7" s="54" t="str">
        <x:v>法院裁判</x:v>
      </x:c>
      <x:c r="F7" s="54" t="str">
        <x:v>说明理由</x:v>
      </x:c>
      <x:c r="G7" s="54" t="str">
        <x:v>机械套比例</x:v>
      </x:c>
      <x:c r="H7" s="54" t="str">
        <x:v>已确认</x:v>
      </x:c>
    </x:row>
    <x:row r="8">
      <x:c r="A8" s="54" t="str">
        <x:v>公式</x:v>
      </x:c>
      <x:c r="B8" s="58" t="str">
        <x:v>浅灰</x:v>
      </x:c>
      <x:c r="C8" s="54" t="str">
        <x:v>工作簿</x:v>
      </x:c>
      <x:c r="D8" s="54" t="str">
        <x:v>不得手改结果</x:v>
      </x:c>
      <x:c r="E8" s="54" t="str">
        <x:v>事实判断</x:v>
      </x:c>
      <x:c r="F8" s="54" t="str">
        <x:v>追踪依赖</x:v>
      </x:c>
      <x:c r="G8" s="54" t="str">
        <x:v>手调合计</x:v>
      </x:c>
      <x:c r="H8" s="54" t="str">
        <x:v>差额0.00</x:v>
      </x:c>
    </x:row>
    <x:row r="9">
      <x:c r="A9" s="54" t="str">
        <x:v>结果</x:v>
      </x:c>
      <x:c r="B9" s="59" t="str">
        <x:v>浅绿</x:v>
      </x:c>
      <x:c r="C9" s="54" t="str">
        <x:v>工作簿</x:v>
      </x:c>
      <x:c r="D9" s="54" t="str">
        <x:v>仅通过后引用</x:v>
      </x:c>
      <x:c r="E9" s="54" t="str">
        <x:v>正式诉请</x:v>
      </x:c>
      <x:c r="F9" s="54" t="str">
        <x:v>与诉状核对</x:v>
      </x:c>
      <x:c r="G9" s="54" t="str">
        <x:v>重复计入</x:v>
      </x:c>
      <x:c r="H9" s="54" t="str">
        <x:v>闭合</x:v>
      </x:c>
    </x:row>
    <x:row r="10">
      <x:c r="A10" s="54" t="str">
        <x:v>报警</x:v>
      </x:c>
      <x:c r="B10" s="60" t="str">
        <x:v>浅红</x:v>
      </x:c>
      <x:c r="C10" s="54" t="str">
        <x:v>工作簿/复核人</x:v>
      </x:c>
      <x:c r="D10" s="54" t="str">
        <x:v>先修复源数据</x:v>
      </x:c>
      <x:c r="E10" s="54" t="str">
        <x:v>缺口说明</x:v>
      </x:c>
      <x:c r="F10" s="54" t="str">
        <x:v>清零P0/P1</x:v>
      </x:c>
      <x:c r="G10" s="54" t="str">
        <x:v>掩盖错误</x:v>
      </x:c>
      <x:c r="H10" s="54" t="str">
        <x:v>无BLOCK</x:v>
      </x:c>
    </x:row>
    <x:row r="11">
      <x:c r="A11" s="52"/>
      <x:c r="B11" s="52"/>
      <x:c r="C11" s="52"/>
      <x:c r="D11" s="52"/>
      <x:c r="E11" s="52"/>
      <x:c r="F11" s="52"/>
      <x:c r="G11" s="52"/>
      <x:c r="H11" s="52"/>
    </x:row>
    <x:row r="12">
      <x:c r="A12" s="53" t="str">
        <x:v>使用顺序</x:v>
      </x:c>
      <x:c r="B12" s="53" t="str">
        <x:v>动作</x:v>
      </x:c>
      <x:c r="C12" s="53" t="str">
        <x:v>必须完成</x:v>
      </x:c>
      <x:c r="D12" s="53" t="str">
        <x:v>页/表</x:v>
      </x:c>
      <x:c r="E12" s="53" t="str">
        <x:v>输出</x:v>
      </x:c>
      <x:c r="F12" s="53" t="str">
        <x:v>阻断条件</x:v>
      </x:c>
      <x:c r="G12" s="53" t="str">
        <x:v>复核</x:v>
      </x:c>
      <x:c r="H12" s="53" t="str">
        <x:v>备注</x:v>
      </x:c>
    </x:row>
    <x:row r="13">
      <x:c r="A13" s="54" t="str">
        <x:v>1</x:v>
      </x:c>
      <x:c r="B13" s="54" t="str">
        <x:v>锁定案件版本</x:v>
      </x:c>
      <x:c r="C13" s="54" t="str">
        <x:v>事故日、法院、是否终审、伤残/死亡模式</x:v>
      </x:c>
      <x:c r="D13" s="54" t="str">
        <x:v>01</x:v>
      </x:c>
      <x:c r="E13" s="54" t="str">
        <x:v>案件参数</x:v>
      </x:c>
      <x:c r="F13" s="54" t="str">
        <x:v>关键日期缺失</x:v>
      </x:c>
      <x:c r="G13" s="54" t="str">
        <x:v>人工</x:v>
      </x:c>
      <x:c r="H13" s="54" t="str">
        <x:v>解释（二）开关不只看事故日</x:v>
      </x:c>
    </x:row>
    <x:row r="14">
      <x:c r="A14" s="54" t="str">
        <x:v>2</x:v>
      </x:c>
      <x:c r="B14" s="54" t="str">
        <x:v>锁定统计与法源</x:v>
      </x:c>
      <x:c r="C14" s="54" t="str">
        <x:v>采用地、年度、官方URL、核验状态</x:v>
      </x:c>
      <x:c r="D14" s="54" t="str">
        <x:v>07</x:v>
      </x:c>
      <x:c r="E14" s="54" t="str">
        <x:v>参数表</x:v>
      </x:c>
      <x:c r="F14" s="54" t="str">
        <x:v>地方数值或来源缺失</x:v>
      </x:c>
      <x:c r="G14" s="54" t="str">
        <x:v>人工</x:v>
      </x:c>
      <x:c r="H14" s="54" t="str">
        <x:v>不得把示例值用于个案</x:v>
      </x:c>
    </x:row>
    <x:row r="15">
      <x:c r="A15" s="54" t="str">
        <x:v>3</x:v>
      </x:c>
      <x:c r="B15" s="54" t="str">
        <x:v>逐项计算</x:v>
      </x:c>
      <x:c r="C15" s="54" t="str">
        <x:v>基数、期间、系数、扣减、主张状态</x:v>
      </x:c>
      <x:c r="D15" s="54" t="str">
        <x:v>02</x:v>
      </x:c>
      <x:c r="E15" s="54" t="str">
        <x:v>损失明细</x:v>
      </x:c>
      <x:c r="F15" s="54" t="str">
        <x:v>伤残与死亡混用</x:v>
      </x:c>
      <x:c r="G15" s="54" t="str">
        <x:v>公式+人工</x:v>
      </x:c>
      <x:c r="H15" s="54" t="str">
        <x:v>不主张写0.00或不主张</x:v>
      </x:c>
    </x:row>
    <x:row r="16">
      <x:c r="A16" s="54" t="str">
        <x:v>4</x:v>
      </x:c>
      <x:c r="B16" s="54" t="str">
        <x:v>逐人计算扶养费</x:v>
      </x:c>
      <x:c r="C16" s="54" t="str">
        <x:v>资格、份额、期间、年度封顶</x:v>
      </x:c>
      <x:c r="D16" s="54" t="str">
        <x:v>03</x:v>
      </x:c>
      <x:c r="E16" s="54" t="str">
        <x:v>扶养费合计</x:v>
      </x:c>
      <x:c r="F16" s="54" t="str">
        <x:v>扶养人数为0</x:v>
      </x:c>
      <x:c r="G16" s="54" t="str">
        <x:v>公式+人工</x:v>
      </x:c>
      <x:c r="H16" s="54" t="str">
        <x:v>不同到期日需细分期间</x:v>
      </x:c>
    </x:row>
    <x:row r="17">
      <x:c r="A17" s="54" t="str">
        <x:v>5</x:v>
      </x:c>
      <x:c r="B17" s="54" t="str">
        <x:v>分配责任</x:v>
      </x:c>
      <x:c r="C17" s="54" t="str">
        <x:v>交强险→责任比例→商业险→侵权人</x:v>
      </x:c>
      <x:c r="D17" s="54" t="str">
        <x:v>04</x:v>
      </x:c>
      <x:c r="E17" s="54" t="str">
        <x:v>义务分层</x:v>
      </x:c>
      <x:c r="F17" s="54" t="str">
        <x:v>层级差额不为0</x:v>
      </x:c>
      <x:c r="G17" s="54" t="str">
        <x:v>公式</x:v>
      </x:c>
      <x:c r="H17" s="54" t="str">
        <x:v>多车多人须扩展矩阵</x:v>
      </x:c>
    </x:row>
    <x:row r="18">
      <x:c r="A18" s="54" t="str">
        <x:v>6</x:v>
      </x:c>
      <x:c r="B18" s="54" t="str">
        <x:v>登记已付款</x:v>
      </x:c>
      <x:c r="C18" s="54" t="str">
        <x:v>按付款主体和义务层分别抵扣</x:v>
      </x:c>
      <x:c r="D18" s="54" t="str">
        <x:v>05</x:v>
      </x:c>
      <x:c r="E18" s="54" t="str">
        <x:v>尚欠余额</x:v>
      </x:c>
      <x:c r="F18" s="54" t="str">
        <x:v>重复抵扣或超额未说明</x:v>
      </x:c>
      <x:c r="G18" s="54" t="str">
        <x:v>公式+人工</x:v>
      </x:c>
      <x:c r="H18" s="54" t="str">
        <x:v>社保基金不要填在此处重复扣</x:v>
      </x:c>
    </x:row>
    <x:row r="19">
      <x:c r="A19" s="54" t="str">
        <x:v>7</x:v>
      </x:c>
      <x:c r="B19" s="54" t="str">
        <x:v>证据映射</x:v>
      </x:c>
      <x:c r="C19" s="54" t="str">
        <x:v>DMG ID与E ID多对多、页码来自冻结证据册</x:v>
      </x:c>
      <x:c r="D19" s="54" t="str">
        <x:v>06</x:v>
      </x:c>
      <x:c r="E19" s="54" t="str">
        <x:v>证据闭环</x:v>
      </x:c>
      <x:c r="F19" s="54" t="str">
        <x:v>主张项目无证据映射</x:v>
      </x:c>
      <x:c r="G19" s="54" t="str">
        <x:v>人工</x:v>
      </x:c>
      <x:c r="H19" s="54" t="str">
        <x:v>不得预估页码</x:v>
      </x:c>
    </x:row>
    <x:row r="20">
      <x:c r="A20" s="54" t="str">
        <x:v>8</x:v>
      </x:c>
      <x:c r="B20" s="54" t="str">
        <x:v>放行</x:v>
      </x:c>
      <x:c r="C20" s="54" t="str">
        <x:v>报警、边界测试、公式错误、视觉检查</x:v>
      </x:c>
      <x:c r="D20" s="54" t="str">
        <x:v>08/09</x:v>
      </x:c>
      <x:c r="E20" s="54" t="str">
        <x:v>DRAFT/CHECK</x:v>
      </x:c>
      <x:c r="F20" s="54" t="str">
        <x:v>任一BLOCK或FAIL</x:v>
      </x:c>
      <x:c r="G20" s="54" t="str">
        <x:v>第二复核人</x:v>
      </x:c>
      <x:c r="H20" s="54" t="str">
        <x:v>签名日期另行实际填写</x:v>
      </x:c>
    </x:row>
    <x:row r="21">
      <x:c r="A21" s="52"/>
      <x:c r="B21" s="52"/>
      <x:c r="C21" s="52"/>
      <x:c r="D21" s="52"/>
      <x:c r="E21" s="52"/>
      <x:c r="F21" s="52"/>
      <x:c r="G21" s="52"/>
      <x:c r="H21" s="52"/>
    </x:row>
    <x:row r="22">
      <x:c r="A22" s="61" t="str">
        <x:v>适用边界：资产为“单名权利人＋单一主要责任车辆/保单”的基线。多车、多名受害人、未投保、连带责任、非机动车保险或保单争议，必须复制并扩展为“保单—受害人—分项”矩阵，不得直接把本表结果称为最终结论。</x:v>
      </x:c>
      <x:c r="B22" s="61"/>
      <x:c r="C22" s="61"/>
      <x:c r="D22" s="61"/>
      <x:c r="E22" s="61"/>
      <x:c r="F22" s="61"/>
      <x:c r="G22" s="61"/>
      <x:c r="H22" s="61"/>
    </x:row>
    <x:row r="23">
      <x:c r="A23" s="61"/>
      <x:c r="B23" s="61"/>
      <x:c r="C23" s="61"/>
      <x:c r="D23" s="61"/>
      <x:c r="E23" s="61"/>
      <x:c r="F23" s="61"/>
      <x:c r="G23" s="61"/>
      <x:c r="H23" s="61"/>
    </x:row>
  </x:sheetData>
  <x:mergeCells>
    <x:mergeCell ref="A1:H1"/>
    <x:mergeCell ref="A2:H2"/>
    <x:mergeCell ref="A22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0" hidden="0" customWidth="1"/>
    <x:col min="4" max="4" width="43" hidden="0" customWidth="1"/>
  </x:cols>
  <x:sheetData>
    <x:row r="1" ht="30" customHeight="1">
      <x:c r="A1" s="50" t="str">
        <x:v>案件参数与版本开关</x:v>
      </x:c>
      <x:c r="B1" s="50"/>
      <x:c r="C1" s="50"/>
      <x:c r="D1" s="50"/>
    </x:row>
    <x:row r="2" ht="32" customHeight="1">
      <x:c r="A2" s="51" t="str">
        <x:v>黄色为案件输入，紫色为律师判断，灰色为公式。解释（二）的适用不能只由事故日期自动决定。</x:v>
      </x:c>
      <x:c r="B2" s="51"/>
      <x:c r="C2" s="51"/>
      <x:c r="D2" s="51"/>
    </x:row>
    <x:row r="3">
      <x:c r="A3" s="52"/>
      <x:c r="B3" s="52"/>
      <x:c r="C3" s="52"/>
      <x:c r="D3" s="52"/>
    </x:row>
    <x:row r="4">
      <x:c r="A4" s="53" t="str">
        <x:v>字段ID</x:v>
      </x:c>
      <x:c r="B4" s="53" t="str">
        <x:v>项目</x:v>
      </x:c>
      <x:c r="C4" s="53" t="str">
        <x:v>值</x:v>
      </x:c>
      <x:c r="D4" s="53" t="str">
        <x:v>角色/填写说明</x:v>
      </x:c>
    </x:row>
    <x:row r="5">
      <x:c r="A5" s="54" t="str">
        <x:v>CASE-ID</x:v>
      </x:c>
      <x:c r="B5" s="54" t="str">
        <x:v>案件ID</x:v>
      </x:c>
      <x:c r="C5" s="55" t="str"/>
      <x:c r="D5" s="54" t="str">
        <x:v>案件输入｜稳定编号</x:v>
      </x:c>
    </x:row>
    <x:row r="6">
      <x:c r="A6" s="54" t="str">
        <x:v>CLM-ID</x:v>
      </x:c>
      <x:c r="B6" s="54" t="str">
        <x:v>权利人ID</x:v>
      </x:c>
      <x:c r="C6" s="55" t="str">
        <x:v>CLM-001</x:v>
      </x:c>
      <x:c r="D6" s="54" t="str">
        <x:v>案件输入｜每人独立</x:v>
      </x:c>
    </x:row>
    <x:row r="7">
      <x:c r="A7" s="54" t="str">
        <x:v>ACC-DATE</x:v>
      </x:c>
      <x:c r="B7" s="54" t="str">
        <x:v>事故日期</x:v>
      </x:c>
      <x:c r="C7" s="62" t="str"/>
      <x:c r="D7" s="54" t="str">
        <x:v>案件输入｜决定交强险历史版本的重要事实</x:v>
      </x:c>
    </x:row>
    <x:row r="8">
      <x:c r="A8" s="54" t="str">
        <x:v>COURT</x:v>
      </x:c>
      <x:c r="B8" s="54" t="str">
        <x:v>受诉法院</x:v>
      </x:c>
      <x:c r="C8" s="55" t="str"/>
      <x:c r="D8" s="54" t="str">
        <x:v>案件输入｜统计采用地判断基础</x:v>
      </x:c>
    </x:row>
    <x:row r="9">
      <x:c r="A9" s="54" t="str">
        <x:v>STATUS</x:v>
      </x:c>
      <x:c r="B9" s="54" t="str">
        <x:v>程序/终审状态</x:v>
      </x:c>
      <x:c r="C9" s="55" t="str"/>
      <x:c r="D9" s="54" t="str">
        <x:v>案件输入｜未终审/已终审再审/其他</x:v>
      </x:c>
    </x:row>
    <x:row r="10">
      <x:c r="A10" s="54" t="str">
        <x:v>LAW-2026</x:v>
      </x:c>
      <x:c r="B10" s="54" t="str">
        <x:v>是否适用2026解释（二）</x:v>
      </x:c>
      <x:c r="C10" s="55" t="str">
        <x:v>待核</x:v>
      </x:c>
      <x:c r="D10" s="54" t="str">
        <x:v>人工判断｜不能仅看事故日期</x:v>
      </x:c>
    </x:row>
    <x:row r="11">
      <x:c r="A11" s="54" t="str">
        <x:v>MODE</x:v>
      </x:c>
      <x:c r="B11" s="54" t="str">
        <x:v>损害模式</x:v>
      </x:c>
      <x:c r="C11" s="55" t="str"/>
      <x:c r="D11" s="54" t="str">
        <x:v>案件输入｜伤残/死亡/仅财产</x:v>
      </x:c>
    </x:row>
    <x:row r="12">
      <x:c r="A12" s="54" t="str">
        <x:v>DOB</x:v>
      </x:c>
      <x:c r="B12" s="54" t="str">
        <x:v>出生日期</x:v>
      </x:c>
      <x:c r="C12" s="62" t="str"/>
      <x:c r="D12" s="54" t="str">
        <x:v>案件输入</x:v>
      </x:c>
    </x:row>
    <x:row r="13">
      <x:c r="A13" s="54" t="str">
        <x:v>DIS-DATE</x:v>
      </x:c>
      <x:c r="B13" s="54" t="str">
        <x:v>定残日</x:v>
      </x:c>
      <x:c r="C13" s="62" t="str"/>
      <x:c r="D13" s="54" t="str">
        <x:v>案件输入｜伤残年龄基准</x:v>
      </x:c>
    </x:row>
    <x:row r="14">
      <x:c r="A14" s="54" t="str">
        <x:v>DEATH-DATE</x:v>
      </x:c>
      <x:c r="B14" s="54" t="str">
        <x:v>死亡日</x:v>
      </x:c>
      <x:c r="C14" s="62" t="str"/>
      <x:c r="D14" s="54" t="str">
        <x:v>案件输入｜死亡年龄基准</x:v>
      </x:c>
    </x:row>
    <x:row r="15">
      <x:c r="A15" s="54" t="str">
        <x:v>BASE-DATE</x:v>
      </x:c>
      <x:c r="B15" s="54" t="str">
        <x:v>年龄计算基准日</x:v>
      </x:c>
      <x:c r="C15" s="63" t="str">
        <x:f>IF(C11="伤残",C13,IF(C11="死亡",C14,""))</x:f>
      </x:c>
      <x:c r="D15" s="54" t="str">
        <x:v>公式｜随损害模式选择</x:v>
      </x:c>
    </x:row>
    <x:row r="16">
      <x:c r="A16" s="54" t="str">
        <x:v>AGE</x:v>
      </x:c>
      <x:c r="B16" s="54" t="str">
        <x:v>完整周岁</x:v>
      </x:c>
      <x:c r="C16" s="58" t="str">
        <x:f>IF(OR(C12="",C15=""),"",DATEDIF(C12,C15,"Y"))</x:f>
      </x:c>
      <x:c r="D16" s="54" t="str">
        <x:v>公式</x:v>
      </x:c>
    </x:row>
    <x:row r="17">
      <x:c r="A17" s="54" t="str">
        <x:v>YEARS</x:v>
      </x:c>
      <x:c r="B17" s="54" t="str">
        <x:v>赔偿年限</x:v>
      </x:c>
      <x:c r="C17" s="58" t="str">
        <x:f>IF(C16="","",IF(C16&gt;='07_法源参数'!C7,'07_法源参数'!C8,IF(C16&gt;'07_法源参数'!C6,'07_法源参数'!C5-(C16-'07_法源参数'!C6),'07_法源参数'!C5)))</x:f>
      </x:c>
      <x:c r="D17" s="54" t="str">
        <x:v>公式｜60周岁仍为20年</x:v>
      </x:c>
    </x:row>
    <x:row r="18">
      <x:c r="A18" s="54" t="str">
        <x:v>DIS-COEF</x:v>
      </x:c>
      <x:c r="B18" s="54" t="str">
        <x:v>最终伤残/劳动能力系数</x:v>
      </x:c>
      <x:c r="C18" s="64" t="str"/>
      <x:c r="D18" s="54" t="str">
        <x:v>人工判断｜0%—100%</x:v>
      </x:c>
    </x:row>
    <x:row r="19">
      <x:c r="A19" s="54" t="str">
        <x:v>MULTI-DIS</x:v>
      </x:c>
      <x:c r="B19" s="54" t="str">
        <x:v>是否多处伤残</x:v>
      </x:c>
      <x:c r="C19" s="57" t="str">
        <x:v>否</x:v>
      </x:c>
      <x:c r="D19" s="54" t="str">
        <x:v>案件输入｜是时最终系数必须人工确认</x:v>
      </x:c>
    </x:row>
    <x:row r="20">
      <x:c r="A20" s="54" t="str">
        <x:v>POLICE-LIAB</x:v>
      </x:c>
      <x:c r="B20" s="54" t="str">
        <x:v>交警责任名称</x:v>
      </x:c>
      <x:c r="C20" s="57" t="str"/>
      <x:c r="D20" s="54" t="str">
        <x:v>案件输入｜不得自动换算比例</x:v>
      </x:c>
    </x:row>
    <x:row r="21">
      <x:c r="A21" s="54" t="str">
        <x:v>JQ-STATUS</x:v>
      </x:c>
      <x:c r="B21" s="54" t="str">
        <x:v>交强险状态</x:v>
      </x:c>
      <x:c r="C21" s="57" t="str"/>
      <x:c r="D21" s="54" t="str">
        <x:v>人工判断｜有责/无责/不适用</x:v>
      </x:c>
    </x:row>
    <x:row r="22">
      <x:c r="A22" s="54" t="str">
        <x:v>JQ-VERSION</x:v>
      </x:c>
      <x:c r="B22" s="54" t="str">
        <x:v>交强险限额版本</x:v>
      </x:c>
      <x:c r="C22" s="57" t="str">
        <x:v>当前</x:v>
      </x:c>
      <x:c r="D22" s="54" t="str">
        <x:v>人工判断｜当前/旧版/人工</x:v>
      </x:c>
    </x:row>
    <x:row r="23">
      <x:c r="A23" s="54" t="str">
        <x:v>JQ-MAN-D</x:v>
      </x:c>
      <x:c r="B23" s="54" t="str">
        <x:v>人工死亡伤残限额</x:v>
      </x:c>
      <x:c r="C23" s="65" t="str"/>
      <x:c r="D23" s="54" t="str">
        <x:v>人工判断｜仅版本=人工</x:v>
      </x:c>
    </x:row>
    <x:row r="24">
      <x:c r="A24" s="54" t="str">
        <x:v>JQ-MAN-M</x:v>
      </x:c>
      <x:c r="B24" s="54" t="str">
        <x:v>人工医疗限额</x:v>
      </x:c>
      <x:c r="C24" s="65" t="str"/>
      <x:c r="D24" s="54" t="str">
        <x:v>人工判断｜仅版本=人工</x:v>
      </x:c>
    </x:row>
    <x:row r="25">
      <x:c r="A25" s="54" t="str">
        <x:v>JQ-MAN-P</x:v>
      </x:c>
      <x:c r="B25" s="54" t="str">
        <x:v>人工财产限额</x:v>
      </x:c>
      <x:c r="C25" s="65" t="str"/>
      <x:c r="D25" s="54" t="str">
        <x:v>人工判断｜仅版本=人工</x:v>
      </x:c>
    </x:row>
    <x:row r="26">
      <x:c r="A26" s="54" t="str">
        <x:v>JQ-D</x:v>
      </x:c>
      <x:c r="B26" s="54" t="str">
        <x:v>采用死亡伤残限额</x:v>
      </x:c>
      <x:c r="C26" s="66" t="str">
        <x:f>IF(C21="","",IF(C21="不适用",0,IF(C22="当前",IF(C21="有责",'07_法源参数'!C18,'07_法源参数'!C21),IF(C22="旧版",IF(C21="有责",'07_法源参数'!C24,'07_法源参数'!C27),C23))))</x:f>
      </x:c>
      <x:c r="D26" s="54" t="str">
        <x:v>公式</x:v>
      </x:c>
    </x:row>
    <x:row r="27">
      <x:c r="A27" s="54" t="str">
        <x:v>JQ-M</x:v>
      </x:c>
      <x:c r="B27" s="54" t="str">
        <x:v>采用医疗限额</x:v>
      </x:c>
      <x:c r="C27" s="66" t="str">
        <x:f>IF(C21="","",IF(C21="不适用",0,IF(C22="当前",IF(C21="有责",'07_法源参数'!C19,'07_法源参数'!C22),IF(C22="旧版",IF(C21="有责",'07_法源参数'!C25,'07_法源参数'!C28),C24))))</x:f>
      </x:c>
      <x:c r="D27" s="54" t="str">
        <x:v>公式</x:v>
      </x:c>
    </x:row>
    <x:row r="28">
      <x:c r="A28" s="54" t="str">
        <x:v>JQ-P</x:v>
      </x:c>
      <x:c r="B28" s="54" t="str">
        <x:v>采用财产限额</x:v>
      </x:c>
      <x:c r="C28" s="66" t="str">
        <x:f>IF(C21="","",IF(C21="不适用",0,IF(C22="当前",IF(C21="有责",'07_法源参数'!C20,'07_法源参数'!C23),IF(C22="旧版",IF(C21="有责",'07_法源参数'!C26,'07_法源参数'!C29),C25))))</x:f>
      </x:c>
      <x:c r="D28" s="54" t="str">
        <x:v>公式</x:v>
      </x:c>
    </x:row>
    <x:row r="29">
      <x:c r="A29" s="54" t="str">
        <x:v>CIVIL-RATE</x:v>
      </x:c>
      <x:c r="B29" s="54" t="str">
        <x:v>交强险外民事责任比例</x:v>
      </x:c>
      <x:c r="C29" s="64" t="str"/>
      <x:c r="D29" s="54" t="str">
        <x:v>人工判断｜不从交警责任自动换算</x:v>
      </x:c>
    </x:row>
    <x:row r="30">
      <x:c r="A30" s="54" t="str">
        <x:v>MENTAL-FIRST</x:v>
      </x:c>
      <x:c r="B30" s="54" t="str">
        <x:v>精神损害交强险优先</x:v>
      </x:c>
      <x:c r="C30" s="64" t="str">
        <x:v>是</x:v>
      </x:c>
      <x:c r="D30" s="54" t="str">
        <x:v>人工判断｜是/否</x:v>
      </x:c>
    </x:row>
    <x:row r="31">
      <x:c r="A31" s="54" t="str">
        <x:v>COMM-LIMIT</x:v>
      </x:c>
      <x:c r="B31" s="54" t="str">
        <x:v>商业险剩余限额</x:v>
      </x:c>
      <x:c r="C31" s="65" t="str"/>
      <x:c r="D31" s="54" t="str">
        <x:v>案件输入｜以真实保单为准</x:v>
      </x:c>
    </x:row>
    <x:row r="32">
      <x:c r="A32" s="54" t="str">
        <x:v>COMM-EXCL</x:v>
      </x:c>
      <x:c r="B32" s="54" t="str">
        <x:v>商业险不承保金额</x:v>
      </x:c>
      <x:c r="C32" s="65" t="n">
        <x:v>0</x:v>
      </x:c>
      <x:c r="D32" s="54" t="str">
        <x:v>人工判断｜条款除外/不覆盖</x:v>
      </x:c>
    </x:row>
    <x:row r="33">
      <x:c r="A33" s="54" t="str">
        <x:v>COMM-DED</x:v>
      </x:c>
      <x:c r="B33" s="54" t="str">
        <x:v>商业险固定免赔额</x:v>
      </x:c>
      <x:c r="C33" s="65" t="n">
        <x:v>0</x:v>
      </x:c>
      <x:c r="D33" s="54" t="str">
        <x:v>人工判断｜按合同</x:v>
      </x:c>
    </x:row>
    <x:row r="34">
      <x:c r="A34" s="54" t="str">
        <x:v>COMM-RATE</x:v>
      </x:c>
      <x:c r="B34" s="54" t="str">
        <x:v>商业险免赔率</x:v>
      </x:c>
      <x:c r="C34" s="64" t="n">
        <x:v>0</x:v>
      </x:c>
      <x:c r="D34" s="54" t="str">
        <x:v>人工判断｜按合同</x:v>
      </x:c>
    </x:row>
    <x:row r="35">
      <x:c r="A35" s="54" t="str">
        <x:v>MENTAL-RATE-MODE</x:v>
      </x:c>
      <x:c r="B35" s="54" t="str">
        <x:v>精神损害输入是否已体现责任比例</x:v>
      </x:c>
      <x:c r="C35" s="57" t="str">
        <x:v>待核</x:v>
      </x:c>
      <x:c r="D35" s="54" t="str">
        <x:v>人工判断｜避免交强险外余额重复乘责</x:v>
      </x:c>
    </x:row>
  </x:sheetData>
  <x:mergeCells>
    <x:mergeCell ref="A1:D1"/>
    <x:mergeCell ref="A2:D2"/>
  </x:mergeCells>
  <x:dataValidations count="8">
    <x:dataValidation type="list" sqref="C9">
      <x:formula1>"未终审,已终审再审,其他"</x:formula1>
    </x:dataValidation>
    <x:dataValidation type="list" sqref="C10">
      <x:formula1>"是,否,待核"</x:formula1>
    </x:dataValidation>
    <x:dataValidation type="list" sqref="C11">
      <x:formula1>"伤残,死亡,仅财产"</x:formula1>
    </x:dataValidation>
    <x:dataValidation type="list" sqref="C19">
      <x:formula1>"是,否"</x:formula1>
    </x:dataValidation>
    <x:dataValidation type="list" sqref="C21">
      <x:formula1>"有责,无责,不适用"</x:formula1>
    </x:dataValidation>
    <x:dataValidation type="list" sqref="C22">
      <x:formula1>"当前,旧版,人工"</x:formula1>
    </x:dataValidation>
    <x:dataValidation type="list" sqref="C30">
      <x:formula1>"是,否"</x:formula1>
    </x:dataValidation>
    <x:dataValidation type="list" sqref="C35">
      <x:formula1>"未体现责任比例,已体现责任比例,待核"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15" hidden="0" customWidth="1"/>
    <x:col min="5" max="5" width="14" hidden="0" customWidth="1"/>
    <x:col min="6" max="6" width="12" hidden="0" customWidth="1"/>
    <x:col min="7" max="7" width="12" hidden="0" customWidth="1"/>
    <x:col min="8" max="8" width="14" hidden="0" customWidth="1"/>
    <x:col min="9" max="9" width="16" hidden="0" customWidth="1"/>
    <x:col min="10" max="10" width="12" hidden="0" customWidth="1"/>
    <x:col min="11" max="11" width="16" hidden="0" customWidth="1"/>
    <x:col min="12" max="12" width="15" hidden="0" customWidth="1"/>
    <x:col min="13" max="13" width="15" hidden="0" customWidth="1"/>
    <x:col min="14" max="14" width="14" hidden="0" customWidth="1"/>
    <x:col min="15" max="15" width="26" hidden="0" customWidth="1"/>
    <x:col min="16" max="16" width="34" hidden="0" customWidth="1"/>
  </x:cols>
  <x:sheetData>
    <x:row r="1" ht="30" customHeight="1">
      <x:c r="A1" s="50" t="str">
        <x:v>赔偿项目明细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</x:row>
    <x:row r="2" ht="32" customHeight="1">
      <x:c r="A2" s="51" t="str">
        <x:v>一行一项目。金额=基数×数量/期间×系数1×系数2−扣减；社会基金扣减放H列，保险人/侵权人直接付款只进“05_已付款”。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</x:row>
    <x:row r="4">
      <x:c r="A4" s="53" t="str">
        <x:v>DMG ID</x:v>
      </x:c>
      <x:c r="B4" s="53" t="str">
        <x:v>类别</x:v>
      </x:c>
      <x:c r="C4" s="53" t="str">
        <x:v>赔偿项目</x:v>
      </x:c>
      <x:c r="D4" s="53" t="str">
        <x:v>基数/标准</x:v>
      </x:c>
      <x:c r="E4" s="53" t="str">
        <x:v>数量/期间</x:v>
      </x:c>
      <x:c r="F4" s="53" t="str">
        <x:v>系数1</x:v>
      </x:c>
      <x:c r="G4" s="53" t="str">
        <x:v>系数2</x:v>
      </x:c>
      <x:c r="H4" s="53" t="str">
        <x:v>扣减</x:v>
      </x:c>
      <x:c r="I4" s="53" t="str">
        <x:v>测算金额</x:v>
      </x:c>
      <x:c r="J4" s="53" t="str">
        <x:v>是否主张</x:v>
      </x:c>
      <x:c r="K4" s="53" t="str">
        <x:v>主张金额</x:v>
      </x:c>
      <x:c r="L4" s="53" t="str">
        <x:v>交强险分项</x:v>
      </x:c>
      <x:c r="M4" s="53" t="str">
        <x:v>证据ID</x:v>
      </x:c>
      <x:c r="N4" s="53" t="str">
        <x:v>材料页码</x:v>
      </x:c>
      <x:c r="O4" s="53" t="str">
        <x:v>参数/来源</x:v>
      </x:c>
      <x:c r="P4" s="53" t="str">
        <x:v>公式/备注</x:v>
      </x:c>
    </x:row>
    <x:row r="5">
      <x:c r="A5" s="54" t="str">
        <x:v>DMG-001</x:v>
      </x:c>
      <x:c r="B5" s="54" t="str">
        <x:v>人身</x:v>
      </x:c>
      <x:c r="C5" s="54" t="str">
        <x:v>医疗费</x:v>
      </x:c>
      <x:c r="D5" s="67" t="str"/>
      <x:c r="E5" s="67" t="n">
        <x:v>1</x:v>
      </x:c>
      <x:c r="F5" s="68" t="n">
        <x:v>1</x:v>
      </x:c>
      <x:c r="G5" s="68" t="n">
        <x:v>1</x:v>
      </x:c>
      <x:c r="H5" s="67" t="n">
        <x:v>0</x:v>
      </x:c>
      <x:c r="I5" s="66" t="str">
        <x:f>IF(D5="","",ROUND(MAX(0,D5*IF(E5="",1,E5)*IF(F5="",1,F5)*IF(G5="",1,G5)-IF(H5="",0,H5)),2))</x:f>
      </x:c>
      <x:c r="J5" s="67" t="str">
        <x:v>待核</x:v>
      </x:c>
      <x:c r="K5" s="69" t="n">
        <x:f>IF(J5="是",IF(I5="",0,I5),0)</x:f>
        <x:v>0</x:v>
      </x:c>
      <x:c r="L5" s="57" t="str">
        <x:v>医疗</x:v>
      </x:c>
      <x:c r="M5" s="55" t="str"/>
      <x:c r="N5" s="55" t="str"/>
      <x:c r="O5" s="55" t="str">
        <x:v>票据逐笔汇总</x:v>
      </x:c>
      <x:c r="P5" s="55" t="str">
        <x:v>H仅扣基本医保/工伤/救助基金等依法不得重复请求额</x:v>
      </x:c>
    </x:row>
    <x:row r="6">
      <x:c r="A6" s="54" t="str">
        <x:v>DMG-002</x:v>
      </x:c>
      <x:c r="B6" s="54" t="str">
        <x:v>人身</x:v>
      </x:c>
      <x:c r="C6" s="54" t="str">
        <x:v>后续治疗费</x:v>
      </x:c>
      <x:c r="D6" s="67" t="str"/>
      <x:c r="E6" s="67" t="n">
        <x:v>1</x:v>
      </x:c>
      <x:c r="F6" s="68" t="n">
        <x:v>1</x:v>
      </x:c>
      <x:c r="G6" s="68" t="n">
        <x:v>1</x:v>
      </x:c>
      <x:c r="H6" s="67" t="n">
        <x:v>0</x:v>
      </x:c>
      <x:c r="I6" s="66" t="str">
        <x:f>IF(D6="","",ROUND(MAX(0,D6*IF(E6="",1,E6)*IF(F6="",1,F6)*IF(G6="",1,G6)-IF(H6="",0,H6)),2))</x:f>
      </x:c>
      <x:c r="J6" s="67" t="str">
        <x:v>待核</x:v>
      </x:c>
      <x:c r="K6" s="69" t="n">
        <x:f>IF(J6="是",IF(I6="",0,I6),0)</x:f>
        <x:v>0</x:v>
      </x:c>
      <x:c r="L6" s="57" t="str">
        <x:v>医疗</x:v>
      </x:c>
      <x:c r="M6" s="55" t="str"/>
      <x:c r="N6" s="55" t="str"/>
      <x:c r="O6" s="55" t="str">
        <x:v>医疗证明/鉴定</x:v>
      </x:c>
      <x:c r="P6" s="55" t="str">
        <x:v>必然发生或另诉风险</x:v>
      </x:c>
    </x:row>
    <x:row r="7">
      <x:c r="A7" s="54" t="str">
        <x:v>DMG-003</x:v>
      </x:c>
      <x:c r="B7" s="54" t="str">
        <x:v>人身</x:v>
      </x:c>
      <x:c r="C7" s="54" t="str">
        <x:v>住院伙食补助费</x:v>
      </x:c>
      <x:c r="D7" s="67" t="n">
        <x:f>'07_法源参数'!C15</x:f>
        <x:v>0</x:v>
      </x:c>
      <x:c r="E7" s="67" t="str"/>
      <x:c r="F7" s="68" t="n">
        <x:v>1</x:v>
      </x:c>
      <x:c r="G7" s="68" t="n">
        <x:v>1</x:v>
      </x:c>
      <x:c r="H7" s="67" t="n">
        <x:v>0</x:v>
      </x:c>
      <x:c r="I7" s="66" t="str">
        <x:f>IF(D7="","",ROUND(MAX(0,D7*IF(E7="",1,E7)*IF(F7="",1,F7)*IF(G7="",1,G7)-IF(H7="",0,H7)),2))</x:f>
      </x:c>
      <x:c r="J7" s="67" t="str">
        <x:v>待核</x:v>
      </x:c>
      <x:c r="K7" s="69" t="n">
        <x:f>IF(J7="是",IF(I7="",0,I7),0)</x:f>
        <x:v>0</x:v>
      </x:c>
      <x:c r="L7" s="57" t="str">
        <x:v>医疗</x:v>
      </x:c>
      <x:c r="M7" s="55" t="str"/>
      <x:c r="N7" s="55" t="str"/>
      <x:c r="O7" s="55" t="str">
        <x:v>地方日标准×天数</x:v>
      </x:c>
      <x:c r="P7" s="55" t="str"/>
    </x:row>
    <x:row r="8">
      <x:c r="A8" s="54" t="str">
        <x:v>DMG-004</x:v>
      </x:c>
      <x:c r="B8" s="54" t="str">
        <x:v>人身</x:v>
      </x:c>
      <x:c r="C8" s="54" t="str">
        <x:v>营养费</x:v>
      </x:c>
      <x:c r="D8" s="67" t="n">
        <x:f>'07_法源参数'!C17</x:f>
        <x:v>0</x:v>
      </x:c>
      <x:c r="E8" s="67" t="str"/>
      <x:c r="F8" s="68" t="n">
        <x:v>1</x:v>
      </x:c>
      <x:c r="G8" s="68" t="n">
        <x:v>1</x:v>
      </x:c>
      <x:c r="H8" s="67" t="n">
        <x:v>0</x:v>
      </x:c>
      <x:c r="I8" s="66" t="str">
        <x:f>IF(D8="","",ROUND(MAX(0,D8*IF(E8="",1,E8)*IF(F8="",1,F8)*IF(G8="",1,G8)-IF(H8="",0,H8)),2))</x:f>
      </x:c>
      <x:c r="J8" s="67" t="str">
        <x:v>待核</x:v>
      </x:c>
      <x:c r="K8" s="69" t="n">
        <x:f>IF(J8="是",IF(I8="",0,I8),0)</x:f>
        <x:v>0</x:v>
      </x:c>
      <x:c r="L8" s="57" t="str">
        <x:v>医疗</x:v>
      </x:c>
      <x:c r="M8" s="55" t="str"/>
      <x:c r="N8" s="55" t="str"/>
      <x:c r="O8" s="55" t="str">
        <x:v>医嘱/鉴定+地方口径</x:v>
      </x:c>
      <x:c r="P8" s="55" t="str"/>
    </x:row>
    <x:row r="9">
      <x:c r="A9" s="54" t="str">
        <x:v>DMG-005</x:v>
      </x:c>
      <x:c r="B9" s="54" t="str">
        <x:v>人身</x:v>
      </x:c>
      <x:c r="C9" s="54" t="str">
        <x:v>护理费</x:v>
      </x:c>
      <x:c r="D9" s="67" t="n">
        <x:f>'07_法源参数'!C16</x:f>
        <x:v>0</x:v>
      </x:c>
      <x:c r="E9" s="67" t="str"/>
      <x:c r="F9" s="68" t="str"/>
      <x:c r="G9" s="68" t="n">
        <x:v>1</x:v>
      </x:c>
      <x:c r="H9" s="67" t="n">
        <x:v>0</x:v>
      </x:c>
      <x:c r="I9" s="66" t="str">
        <x:f>IF(D9="","",ROUND(MAX(0,D9*IF(E9="",1,E9)*IF(F9="",1,F9)*IF(G9="",1,G9)-IF(H9="",0,H9)),2))</x:f>
      </x:c>
      <x:c r="J9" s="67" t="str">
        <x:v>待核</x:v>
      </x:c>
      <x:c r="K9" s="69" t="n">
        <x:f>IF(J9="是",IF(I9="",0,I9),0)</x:f>
        <x:v>0</x:v>
      </x:c>
      <x:c r="L9" s="57" t="str">
        <x:v>死亡伤残</x:v>
      </x:c>
      <x:c r="M9" s="55" t="str"/>
      <x:c r="N9" s="55" t="str"/>
      <x:c r="O9" s="55" t="str">
        <x:v>日标准×天数×人数</x:v>
      </x:c>
      <x:c r="P9" s="55" t="str"/>
    </x:row>
    <x:row r="10">
      <x:c r="A10" s="54" t="str">
        <x:v>DMG-006</x:v>
      </x:c>
      <x:c r="B10" s="54" t="str">
        <x:v>人身</x:v>
      </x:c>
      <x:c r="C10" s="54" t="str">
        <x:v>误工费</x:v>
      </x:c>
      <x:c r="D10" s="67" t="str"/>
      <x:c r="E10" s="67" t="str"/>
      <x:c r="F10" s="68" t="n">
        <x:v>1</x:v>
      </x:c>
      <x:c r="G10" s="68" t="n">
        <x:v>1</x:v>
      </x:c>
      <x:c r="H10" s="67" t="n">
        <x:v>0</x:v>
      </x:c>
      <x:c r="I10" s="66" t="str">
        <x:f>IF(D10="","",ROUND(MAX(0,D10*IF(E10="",1,E10)*IF(F10="",1,F10)*IF(G10="",1,G10)-IF(H10="",0,H10)),2))</x:f>
      </x:c>
      <x:c r="J10" s="67" t="str">
        <x:v>待核</x:v>
      </x:c>
      <x:c r="K10" s="69" t="n">
        <x:f>IF(J10="是",IF(I10="",0,I10),0)</x:f>
        <x:v>0</x:v>
      </x:c>
      <x:c r="L10" s="57" t="str">
        <x:v>死亡伤残</x:v>
      </x:c>
      <x:c r="M10" s="55" t="str"/>
      <x:c r="N10" s="55" t="str"/>
      <x:c r="O10" s="55" t="str">
        <x:v>实际减少/三年平均/行业标准</x:v>
      </x:c>
      <x:c r="P10" s="55" t="str">
        <x:v>超过退休年龄不得自动归零</x:v>
      </x:c>
    </x:row>
    <x:row r="11">
      <x:c r="A11" s="54" t="str">
        <x:v>DMG-007</x:v>
      </x:c>
      <x:c r="B11" s="54" t="str">
        <x:v>人身</x:v>
      </x:c>
      <x:c r="C11" s="54" t="str">
        <x:v>交通费</x:v>
      </x:c>
      <x:c r="D11" s="67" t="str"/>
      <x:c r="E11" s="67" t="n">
        <x:v>1</x:v>
      </x:c>
      <x:c r="F11" s="68" t="n">
        <x:v>1</x:v>
      </x:c>
      <x:c r="G11" s="68" t="n">
        <x:v>1</x:v>
      </x:c>
      <x:c r="H11" s="67" t="n">
        <x:v>0</x:v>
      </x:c>
      <x:c r="I11" s="66" t="str">
        <x:f>IF(D11="","",ROUND(MAX(0,D11*IF(E11="",1,E11)*IF(F11="",1,F11)*IF(G11="",1,G11)-IF(H11="",0,H11)),2))</x:f>
      </x:c>
      <x:c r="J11" s="67" t="str">
        <x:v>待核</x:v>
      </x:c>
      <x:c r="K11" s="69" t="n">
        <x:f>IF(J11="是",IF(I11="",0,I11),0)</x:f>
        <x:v>0</x:v>
      </x:c>
      <x:c r="L11" s="57" t="str">
        <x:v>死亡伤残</x:v>
      </x:c>
      <x:c r="M11" s="55" t="str"/>
      <x:c r="N11" s="55" t="str"/>
      <x:c r="O11" s="55" t="str">
        <x:v>实际合理票据</x:v>
      </x:c>
      <x:c r="P11" s="55" t="str"/>
    </x:row>
    <x:row r="12">
      <x:c r="A12" s="54" t="str">
        <x:v>DMG-008</x:v>
      </x:c>
      <x:c r="B12" s="54" t="str">
        <x:v>人身</x:v>
      </x:c>
      <x:c r="C12" s="54" t="str">
        <x:v>住宿费</x:v>
      </x:c>
      <x:c r="D12" s="67" t="str"/>
      <x:c r="E12" s="67" t="n">
        <x:v>1</x:v>
      </x:c>
      <x:c r="F12" s="68" t="n">
        <x:v>1</x:v>
      </x:c>
      <x:c r="G12" s="68" t="n">
        <x:v>1</x:v>
      </x:c>
      <x:c r="H12" s="67" t="n">
        <x:v>0</x:v>
      </x:c>
      <x:c r="I12" s="66" t="str">
        <x:f>IF(D12="","",ROUND(MAX(0,D12*IF(E12="",1,E12)*IF(F12="",1,F12)*IF(G12="",1,G12)-IF(H12="",0,H12)),2))</x:f>
      </x:c>
      <x:c r="J12" s="67" t="str">
        <x:v>待核</x:v>
      </x:c>
      <x:c r="K12" s="69" t="n">
        <x:f>IF(J12="是",IF(I12="",0,I12),0)</x:f>
        <x:v>0</x:v>
      </x:c>
      <x:c r="L12" s="57" t="str">
        <x:v>死亡伤残</x:v>
      </x:c>
      <x:c r="M12" s="55" t="str"/>
      <x:c r="N12" s="55" t="str"/>
      <x:c r="O12" s="55" t="str">
        <x:v>必要且合理</x:v>
      </x:c>
      <x:c r="P12" s="55" t="str"/>
    </x:row>
    <x:row r="13">
      <x:c r="A13" s="54" t="str">
        <x:v>DMG-009</x:v>
      </x:c>
      <x:c r="B13" s="54" t="str">
        <x:v>伤残</x:v>
      </x:c>
      <x:c r="C13" s="54" t="str">
        <x:v>残疾赔偿金基本额</x:v>
      </x:c>
      <x:c r="D13" s="67" t="n">
        <x:f>'07_法源参数'!C12</x:f>
        <x:v>0</x:v>
      </x:c>
      <x:c r="E13" s="67" t="str">
        <x:f>'01_案件参数'!C17</x:f>
      </x:c>
      <x:c r="F13" s="68" t="n">
        <x:f>'01_案件参数'!C18</x:f>
        <x:v>0</x:v>
      </x:c>
      <x:c r="G13" s="68" t="n">
        <x:v>1</x:v>
      </x:c>
      <x:c r="H13" s="67" t="n">
        <x:v>0</x:v>
      </x:c>
      <x:c r="I13" s="66" t="str">
        <x:f>IF(D13="","",ROUND(MAX(0,D13*IF(E13="",1,E13)*IF(F13="",1,F13)*IF(G13="",1,G13)-IF(H13="",0,H13)),2))</x:f>
      </x:c>
      <x:c r="J13" s="67" t="str">
        <x:v>待核</x:v>
      </x:c>
      <x:c r="K13" s="69" t="n">
        <x:f>IF(J13="是",IF(I13="",0,I13),0)</x:f>
        <x:v>0</x:v>
      </x:c>
      <x:c r="L13" s="57" t="str">
        <x:v>死亡伤残</x:v>
      </x:c>
      <x:c r="M13" s="55" t="str"/>
      <x:c r="N13" s="55" t="str"/>
      <x:c r="O13" s="55" t="str">
        <x:v>U×年限×最终系数</x:v>
      </x:c>
      <x:c r="P13" s="55" t="str">
        <x:v>多处伤残系数人工确认</x:v>
      </x:c>
    </x:row>
    <x:row r="14">
      <x:c r="A14" s="54" t="str">
        <x:v>DMG-010</x:v>
      </x:c>
      <x:c r="B14" s="54" t="str">
        <x:v>伤残/死亡</x:v>
      </x:c>
      <x:c r="C14" s="54" t="str">
        <x:v>被扶养人生活费</x:v>
      </x:c>
      <x:c r="D14" s="67" t="n">
        <x:f>'03_被扶养人'!O39</x:f>
        <x:v>0</x:v>
      </x:c>
      <x:c r="E14" s="67" t="n">
        <x:v>1</x:v>
      </x:c>
      <x:c r="F14" s="68" t="n">
        <x:v>1</x:v>
      </x:c>
      <x:c r="G14" s="68" t="n">
        <x:v>1</x:v>
      </x:c>
      <x:c r="H14" s="67" t="n">
        <x:v>0</x:v>
      </x:c>
      <x:c r="I14" s="66" t="str">
        <x:f>IF(D14="","",ROUND(MAX(0,D14*IF(E14="",1,E14)*IF(F14="",1,F14)*IF(G14="",1,G14)-IF(H14="",0,H14)),2))</x:f>
      </x:c>
      <x:c r="J14" s="67" t="str">
        <x:v>待核</x:v>
      </x:c>
      <x:c r="K14" s="69" t="n">
        <x:f>IF(J14="是",IF(I14="",0,I14),0)</x:f>
        <x:v>0</x:v>
      </x:c>
      <x:c r="L14" s="57" t="str">
        <x:v>死亡伤残</x:v>
      </x:c>
      <x:c r="M14" s="55" t="str"/>
      <x:c r="N14" s="55" t="str"/>
      <x:c r="O14" s="55" t="str">
        <x:v>来自03表逐年封顶</x:v>
      </x:c>
      <x:c r="P14" s="55" t="str">
        <x:v>仅计入总额一次</x:v>
      </x:c>
    </x:row>
    <x:row r="15">
      <x:c r="A15" s="54" t="str">
        <x:v>DMG-011</x:v>
      </x:c>
      <x:c r="B15" s="54" t="str">
        <x:v>伤残</x:v>
      </x:c>
      <x:c r="C15" s="54" t="str">
        <x:v>残疾辅助器具费</x:v>
      </x:c>
      <x:c r="D15" s="67" t="str"/>
      <x:c r="E15" s="67" t="str"/>
      <x:c r="F15" s="68" t="str"/>
      <x:c r="G15" s="68" t="n">
        <x:v>1</x:v>
      </x:c>
      <x:c r="H15" s="67" t="n">
        <x:v>0</x:v>
      </x:c>
      <x:c r="I15" s="66" t="str">
        <x:f>IF(D15="","",ROUND(MAX(0,D15*IF(E15="",1,E15)*IF(F15="",1,F15)*IF(G15="",1,G15)-IF(H15="",0,H15)),2))</x:f>
      </x:c>
      <x:c r="J15" s="67" t="str">
        <x:v>待核</x:v>
      </x:c>
      <x:c r="K15" s="69" t="n">
        <x:f>IF(J15="是",IF(I15="",0,I15),0)</x:f>
        <x:v>0</x:v>
      </x:c>
      <x:c r="L15" s="57" t="str">
        <x:v>死亡伤残</x:v>
      </x:c>
      <x:c r="M15" s="55" t="str"/>
      <x:c r="N15" s="55" t="str"/>
      <x:c r="O15" s="55" t="str">
        <x:v>单价×数量×认可次数</x:v>
      </x:c>
      <x:c r="P15" s="55" t="str"/>
    </x:row>
    <x:row r="16">
      <x:c r="A16" s="54" t="str">
        <x:v>DMG-012</x:v>
      </x:c>
      <x:c r="B16" s="54" t="str">
        <x:v>伤残</x:v>
      </x:c>
      <x:c r="C16" s="54" t="str">
        <x:v>定残后护理费</x:v>
      </x:c>
      <x:c r="D16" s="67" t="str"/>
      <x:c r="E16" s="67" t="str"/>
      <x:c r="F16" s="68" t="str"/>
      <x:c r="G16" s="68" t="n">
        <x:v>1</x:v>
      </x:c>
      <x:c r="H16" s="67" t="n">
        <x:v>0</x:v>
      </x:c>
      <x:c r="I16" s="66" t="str">
        <x:f>IF(D16="","",ROUND(MAX(0,D16*IF(E16="",1,E16)*IF(F16="",1,F16)*IF(G16="",1,G16)-IF(H16="",0,H16)),2))</x:f>
      </x:c>
      <x:c r="J16" s="67" t="str">
        <x:v>待核</x:v>
      </x:c>
      <x:c r="K16" s="69" t="n">
        <x:f>IF(J16="是",IF(I16="",0,I16),0)</x:f>
        <x:v>0</x:v>
      </x:c>
      <x:c r="L16" s="57" t="str">
        <x:v>死亡伤残</x:v>
      </x:c>
      <x:c r="M16" s="55" t="str"/>
      <x:c r="N16" s="55" t="str"/>
      <x:c r="O16" s="55" t="str">
        <x:v>年标准×年限×依赖系数</x:v>
      </x:c>
      <x:c r="P16" s="55" t="str"/>
    </x:row>
    <x:row r="17">
      <x:c r="A17" s="54" t="str">
        <x:v>DMG-013</x:v>
      </x:c>
      <x:c r="B17" s="54" t="str">
        <x:v>死亡</x:v>
      </x:c>
      <x:c r="C17" s="54" t="str">
        <x:v>死亡赔偿金基本额</x:v>
      </x:c>
      <x:c r="D17" s="67" t="n">
        <x:f>'07_法源参数'!C12</x:f>
        <x:v>0</x:v>
      </x:c>
      <x:c r="E17" s="67" t="str">
        <x:f>'01_案件参数'!C17</x:f>
      </x:c>
      <x:c r="F17" s="68" t="n">
        <x:v>1</x:v>
      </x:c>
      <x:c r="G17" s="68" t="n">
        <x:v>1</x:v>
      </x:c>
      <x:c r="H17" s="67" t="n">
        <x:v>0</x:v>
      </x:c>
      <x:c r="I17" s="66" t="str">
        <x:f>IF(D17="","",ROUND(MAX(0,D17*IF(E17="",1,E17)*IF(F17="",1,F17)*IF(G17="",1,G17)-IF(H17="",0,H17)),2))</x:f>
      </x:c>
      <x:c r="J17" s="67" t="str">
        <x:v>待核</x:v>
      </x:c>
      <x:c r="K17" s="69" t="n">
        <x:f>IF(J17="是",IF(I17="",0,I17),0)</x:f>
        <x:v>0</x:v>
      </x:c>
      <x:c r="L17" s="57" t="str">
        <x:v>死亡伤残</x:v>
      </x:c>
      <x:c r="M17" s="55" t="str"/>
      <x:c r="N17" s="55" t="str"/>
      <x:c r="O17" s="55" t="str">
        <x:v>U×年限</x:v>
      </x:c>
      <x:c r="P17" s="55" t="str"/>
    </x:row>
    <x:row r="18">
      <x:c r="A18" s="54" t="str">
        <x:v>DMG-014</x:v>
      </x:c>
      <x:c r="B18" s="54" t="str">
        <x:v>死亡</x:v>
      </x:c>
      <x:c r="C18" s="54" t="str">
        <x:v>丧葬费</x:v>
      </x:c>
      <x:c r="D18" s="67" t="str">
        <x:f>IF('07_法源参数'!C14="","",'07_法源参数'!C14/12)</x:f>
      </x:c>
      <x:c r="E18" s="67" t="n">
        <x:f>'07_法源参数'!C10</x:f>
        <x:v>6</x:v>
      </x:c>
      <x:c r="F18" s="68" t="n">
        <x:v>1</x:v>
      </x:c>
      <x:c r="G18" s="68" t="n">
        <x:v>1</x:v>
      </x:c>
      <x:c r="H18" s="67" t="n">
        <x:v>0</x:v>
      </x:c>
      <x:c r="I18" s="66" t="str">
        <x:f>IF(D18="","",ROUND(MAX(0,D18*IF(E18="",1,E18)*IF(F18="",1,F18)*IF(G18="",1,G18)-IF(H18="",0,H18)),2))</x:f>
      </x:c>
      <x:c r="J18" s="67" t="str">
        <x:v>待核</x:v>
      </x:c>
      <x:c r="K18" s="69" t="n">
        <x:f>IF(J18="是",IF(I18="",0,I18),0)</x:f>
        <x:v>0</x:v>
      </x:c>
      <x:c r="L18" s="57" t="str">
        <x:v>死亡伤残</x:v>
      </x:c>
      <x:c r="M18" s="55" t="str"/>
      <x:c r="N18" s="55" t="str"/>
      <x:c r="O18" s="55" t="str">
        <x:v>职工年平均工资÷12×6</x:v>
      </x:c>
      <x:c r="P18" s="55" t="str"/>
    </x:row>
    <x:row r="19">
      <x:c r="A19" s="54" t="str">
        <x:v>DMG-015</x:v>
      </x:c>
      <x:c r="B19" s="54" t="str">
        <x:v>人身</x:v>
      </x:c>
      <x:c r="C19" s="54" t="str">
        <x:v>精神损害抚慰金</x:v>
      </x:c>
      <x:c r="D19" s="67" t="str"/>
      <x:c r="E19" s="67" t="n">
        <x:v>1</x:v>
      </x:c>
      <x:c r="F19" s="68" t="n">
        <x:v>1</x:v>
      </x:c>
      <x:c r="G19" s="68" t="n">
        <x:v>1</x:v>
      </x:c>
      <x:c r="H19" s="67" t="n">
        <x:v>0</x:v>
      </x:c>
      <x:c r="I19" s="66" t="str">
        <x:f>IF(D19="","",ROUND(MAX(0,D19*IF(E19="",1,E19)*IF(F19="",1,F19)*IF(G19="",1,G19)-IF(H19="",0,H19)),2))</x:f>
      </x:c>
      <x:c r="J19" s="67" t="str">
        <x:v>待核</x:v>
      </x:c>
      <x:c r="K19" s="69" t="n">
        <x:f>IF(J19="是",IF(I19="",0,I19),0)</x:f>
        <x:v>0</x:v>
      </x:c>
      <x:c r="L19" s="57" t="str">
        <x:v>死亡伤残</x:v>
      </x:c>
      <x:c r="M19" s="55" t="str"/>
      <x:c r="N19" s="55" t="str"/>
      <x:c r="O19" s="55" t="str">
        <x:v>律师人工判断</x:v>
      </x:c>
      <x:c r="P19" s="55" t="str">
        <x:v>输入值若已体现过错不得重复乘责</x:v>
      </x:c>
    </x:row>
    <x:row r="20">
      <x:c r="A20" s="54" t="str">
        <x:v>DMG-016</x:v>
      </x:c>
      <x:c r="B20" s="54" t="str">
        <x:v>其他</x:v>
      </x:c>
      <x:c r="C20" s="54" t="str">
        <x:v>鉴定费</x:v>
      </x:c>
      <x:c r="D20" s="67" t="str"/>
      <x:c r="E20" s="67" t="n">
        <x:v>1</x:v>
      </x:c>
      <x:c r="F20" s="68" t="n">
        <x:v>1</x:v>
      </x:c>
      <x:c r="G20" s="68" t="n">
        <x:v>1</x:v>
      </x:c>
      <x:c r="H20" s="67" t="n">
        <x:v>0</x:v>
      </x:c>
      <x:c r="I20" s="66" t="str">
        <x:f>IF(D20="","",ROUND(MAX(0,D20*IF(E20="",1,E20)*IF(F20="",1,F20)*IF(G20="",1,G20)-IF(H20="",0,H20)),2))</x:f>
      </x:c>
      <x:c r="J20" s="67" t="str">
        <x:v>待核</x:v>
      </x:c>
      <x:c r="K20" s="69" t="n">
        <x:f>IF(J20="是",IF(I20="",0,I20),0)</x:f>
        <x:v>0</x:v>
      </x:c>
      <x:c r="L20" s="57" t="str">
        <x:v>人工判断</x:v>
      </x:c>
      <x:c r="M20" s="55" t="str"/>
      <x:c r="N20" s="55" t="str"/>
      <x:c r="O20" s="55" t="str">
        <x:v>法源/裁判口径人工确认</x:v>
      </x:c>
      <x:c r="P20" s="55" t="str"/>
    </x:row>
    <x:row r="21">
      <x:c r="A21" s="54" t="str">
        <x:v>DMG-017</x:v>
      </x:c>
      <x:c r="B21" s="54" t="str">
        <x:v>财产</x:v>
      </x:c>
      <x:c r="C21" s="54" t="str">
        <x:v>维修或重置损失</x:v>
      </x:c>
      <x:c r="D21" s="67" t="str"/>
      <x:c r="E21" s="67" t="n">
        <x:v>1</x:v>
      </x:c>
      <x:c r="F21" s="68" t="n">
        <x:v>1</x:v>
      </x:c>
      <x:c r="G21" s="68" t="n">
        <x:v>1</x:v>
      </x:c>
      <x:c r="H21" s="67" t="n">
        <x:v>0</x:v>
      </x:c>
      <x:c r="I21" s="66" t="str">
        <x:f>IF(D21="","",ROUND(MAX(0,D21*IF(E21="",1,E21)*IF(F21="",1,F21)*IF(G21="",1,G21)-IF(H21="",0,H21)),2))</x:f>
      </x:c>
      <x:c r="J21" s="67" t="str">
        <x:v>待核</x:v>
      </x:c>
      <x:c r="K21" s="69" t="n">
        <x:f>IF(J21="是",IF(I21="",0,I21),0)</x:f>
        <x:v>0</x:v>
      </x:c>
      <x:c r="L21" s="57" t="str">
        <x:v>财产</x:v>
      </x:c>
      <x:c r="M21" s="55" t="str"/>
      <x:c r="N21" s="55" t="str"/>
      <x:c r="O21" s="55" t="str">
        <x:v>维修/市价/残值证据</x:v>
      </x:c>
      <x:c r="P21" s="55" t="str"/>
    </x:row>
    <x:row r="22">
      <x:c r="A22" s="54" t="str">
        <x:v>DMG-018</x:v>
      </x:c>
      <x:c r="B22" s="54" t="str">
        <x:v>财产</x:v>
      </x:c>
      <x:c r="C22" s="54" t="str">
        <x:v>施救、拖车费</x:v>
      </x:c>
      <x:c r="D22" s="67" t="str"/>
      <x:c r="E22" s="67" t="n">
        <x:v>1</x:v>
      </x:c>
      <x:c r="F22" s="68" t="n">
        <x:v>1</x:v>
      </x:c>
      <x:c r="G22" s="68" t="n">
        <x:v>1</x:v>
      </x:c>
      <x:c r="H22" s="67" t="n">
        <x:v>0</x:v>
      </x:c>
      <x:c r="I22" s="66" t="str">
        <x:f>IF(D22="","",ROUND(MAX(0,D22*IF(E22="",1,E22)*IF(F22="",1,F22)*IF(G22="",1,G22)-IF(H22="",0,H22)),2))</x:f>
      </x:c>
      <x:c r="J22" s="67" t="str">
        <x:v>待核</x:v>
      </x:c>
      <x:c r="K22" s="69" t="n">
        <x:f>IF(J22="是",IF(I22="",0,I22),0)</x:f>
        <x:v>0</x:v>
      </x:c>
      <x:c r="L22" s="57" t="str">
        <x:v>财产</x:v>
      </x:c>
      <x:c r="M22" s="55" t="str"/>
      <x:c r="N22" s="55" t="str"/>
      <x:c r="O22" s="55" t="str">
        <x:v>必要合理</x:v>
      </x:c>
      <x:c r="P22" s="55" t="str"/>
    </x:row>
    <x:row r="23">
      <x:c r="A23" s="54" t="str">
        <x:v>DMG-019</x:v>
      </x:c>
      <x:c r="B23" s="54" t="str">
        <x:v>财产</x:v>
      </x:c>
      <x:c r="C23" s="54" t="str">
        <x:v>营运停运损失</x:v>
      </x:c>
      <x:c r="D23" s="67" t="str"/>
      <x:c r="E23" s="67" t="str"/>
      <x:c r="F23" s="68" t="n">
        <x:v>1</x:v>
      </x:c>
      <x:c r="G23" s="68" t="n">
        <x:v>1</x:v>
      </x:c>
      <x:c r="H23" s="67" t="n">
        <x:v>0</x:v>
      </x:c>
      <x:c r="I23" s="66" t="str">
        <x:f>IF(D23="","",ROUND(MAX(0,D23*IF(E23="",1,E23)*IF(F23="",1,F23)*IF(G23="",1,G23)-IF(H23="",0,H23)),2))</x:f>
      </x:c>
      <x:c r="J23" s="67" t="str">
        <x:v>待核</x:v>
      </x:c>
      <x:c r="K23" s="69" t="n">
        <x:f>IF(J23="是",IF(I23="",0,I23),0)</x:f>
        <x:v>0</x:v>
      </x:c>
      <x:c r="L23" s="57" t="str">
        <x:v>人工判断</x:v>
      </x:c>
      <x:c r="M23" s="55" t="str"/>
      <x:c r="N23" s="55" t="str"/>
      <x:c r="O23" s="55" t="str">
        <x:v>净日损失×必要期间</x:v>
      </x:c>
      <x:c r="P23" s="55" t="str"/>
    </x:row>
    <x:row r="24">
      <x:c r="A24" s="54" t="str">
        <x:v>DMG-020</x:v>
      </x:c>
      <x:c r="B24" s="54" t="str">
        <x:v>财产</x:v>
      </x:c>
      <x:c r="C24" s="54" t="str">
        <x:v>替代交通费</x:v>
      </x:c>
      <x:c r="D24" s="67" t="str"/>
      <x:c r="E24" s="67" t="str"/>
      <x:c r="F24" s="68" t="n">
        <x:v>1</x:v>
      </x:c>
      <x:c r="G24" s="68" t="n">
        <x:v>1</x:v>
      </x:c>
      <x:c r="H24" s="67" t="n">
        <x:v>0</x:v>
      </x:c>
      <x:c r="I24" s="66" t="str">
        <x:f>IF(D24="","",ROUND(MAX(0,D24*IF(E24="",1,E24)*IF(F24="",1,F24)*IF(G24="",1,G24)-IF(H24="",0,H24)),2))</x:f>
      </x:c>
      <x:c r="J24" s="67" t="str">
        <x:v>待核</x:v>
      </x:c>
      <x:c r="K24" s="69" t="n">
        <x:f>IF(J24="是",IF(I24="",0,I24),0)</x:f>
        <x:v>0</x:v>
      </x:c>
      <x:c r="L24" s="57" t="str">
        <x:v>人工判断</x:v>
      </x:c>
      <x:c r="M24" s="55" t="str"/>
      <x:c r="N24" s="55" t="str"/>
      <x:c r="O24" s="55" t="str">
        <x:v>非营运车辆必要期间</x:v>
      </x:c>
      <x:c r="P24" s="55" t="str"/>
    </x:row>
    <x:row r="25">
      <x:c r="A25" s="54" t="str">
        <x:v>DMG-021</x:v>
      </x:c>
      <x:c r="B25" s="54" t="str">
        <x:v>其他</x:v>
      </x:c>
      <x:c r="C25" s="54" t="str">
        <x:v>其他损失</x:v>
      </x:c>
      <x:c r="D25" s="67" t="str"/>
      <x:c r="E25" s="67" t="n">
        <x:v>1</x:v>
      </x:c>
      <x:c r="F25" s="68" t="n">
        <x:v>1</x:v>
      </x:c>
      <x:c r="G25" s="68" t="n">
        <x:v>1</x:v>
      </x:c>
      <x:c r="H25" s="67" t="n">
        <x:v>0</x:v>
      </x:c>
      <x:c r="I25" s="66" t="str">
        <x:f>IF(D25="","",ROUND(MAX(0,D25*IF(E25="",1,E25)*IF(F25="",1,F25)*IF(G25="",1,G25)-IF(H25="",0,H25)),2))</x:f>
      </x:c>
      <x:c r="J25" s="67" t="str">
        <x:v>待核</x:v>
      </x:c>
      <x:c r="K25" s="69" t="n">
        <x:f>IF(J25="是",IF(I25="",0,I25),0)</x:f>
        <x:v>0</x:v>
      </x:c>
      <x:c r="L25" s="57" t="str">
        <x:v>人工判断</x:v>
      </x:c>
      <x:c r="M25" s="55" t="str"/>
      <x:c r="N25" s="55" t="str"/>
      <x:c r="O25" s="55" t="str">
        <x:v>逐项说明法源与证据</x:v>
      </x:c>
      <x:c r="P25" s="55" t="str"/>
    </x:row>
    <x:row r="26">
      <x:c r="A26" s="54" t="str">
        <x:v>DMG-022</x:v>
      </x:c>
      <x:c r="B26" s="54" t="str">
        <x:v>诉讼费用</x:v>
      </x:c>
      <x:c r="C26" s="54" t="str">
        <x:v>案件受理费（另行）</x:v>
      </x:c>
      <x:c r="D26" s="67" t="str"/>
      <x:c r="E26" s="67" t="n">
        <x:v>1</x:v>
      </x:c>
      <x:c r="F26" s="68" t="n">
        <x:v>1</x:v>
      </x:c>
      <x:c r="G26" s="68" t="n">
        <x:v>1</x:v>
      </x:c>
      <x:c r="H26" s="67" t="n">
        <x:v>0</x:v>
      </x:c>
      <x:c r="I26" s="66" t="str">
        <x:f>IF(D26="","",D26)</x:f>
      </x:c>
      <x:c r="J26" s="67" t="str">
        <x:v>否</x:v>
      </x:c>
      <x:c r="K26" s="69" t="n">
        <x:f>0</x:f>
        <x:v>0</x:v>
      </x:c>
      <x:c r="L26" s="57" t="str">
        <x:v>不计入损害总额</x:v>
      </x:c>
      <x:c r="M26" s="55" t="str"/>
      <x:c r="N26" s="55" t="str"/>
      <x:c r="O26" s="55" t="str">
        <x:v>另行处理</x:v>
      </x:c>
      <x:c r="P26" s="55" t="str">
        <x:v>K列固定0，不并入损害总额</x:v>
      </x:c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</x:row>
    <x:row r="28">
      <x:c r="A28" s="59" t="str">
        <x:v>结果</x:v>
      </x:c>
      <x:c r="B28" s="59" t="str">
        <x:v>主张总额</x:v>
      </x:c>
      <x:c r="C28" s="59" t="str"/>
      <x:c r="D28" s="59" t="str"/>
      <x:c r="E28" s="59" t="str"/>
      <x:c r="F28" s="59" t="str"/>
      <x:c r="G28" s="59" t="str"/>
      <x:c r="H28" s="59" t="str"/>
      <x:c r="I28" s="69" t="n">
        <x:f>SUM(K5:K26)</x:f>
        <x:v>0</x:v>
      </x:c>
      <x:c r="J28" s="59" t="str">
        <x:v>公式</x:v>
      </x:c>
      <x:c r="K28" s="52"/>
      <x:c r="L28" s="52"/>
      <x:c r="M28" s="52"/>
      <x:c r="N28" s="52"/>
      <x:c r="O28" s="52"/>
      <x:c r="P28" s="52"/>
    </x:row>
  </x:sheetData>
  <x:mergeCells>
    <x:mergeCell ref="A1:P1"/>
    <x:mergeCell ref="A2:P2"/>
    <x:mergeCell ref="B28:H28"/>
  </x:mergeCells>
  <x:dataValidations count="2">
    <x:dataValidation type="list" sqref="J5:J26">
      <x:formula1>"是,否,待核"</x:formula1>
    </x:dataValidation>
    <x:dataValidation type="list" sqref="L5:L26">
      <x:formula1>"死亡伤残,医疗,财产,人工判断,不计入损害总额"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4" hidden="0" customWidth="1"/>
    <x:col min="6" max="6" width="14" hidden="0" customWidth="1"/>
    <x:col min="7" max="7" width="10" hidden="0" customWidth="1"/>
    <x:col min="8" max="8" width="16" hidden="0" customWidth="1"/>
    <x:col min="9" max="9" width="15" hidden="0" customWidth="1"/>
    <x:col min="10" max="10" width="14" hidden="0" customWidth="1"/>
    <x:col min="11" max="11" width="15" hidden="0" customWidth="1"/>
    <x:col min="12" max="12" width="16" hidden="0" customWidth="1"/>
    <x:col min="13" max="13" width="16" hidden="0" customWidth="1"/>
    <x:col min="14" max="14" width="15" hidden="0" customWidth="1"/>
    <x:col min="15" max="15" width="24" hidden="0" customWidth="1"/>
  </x:cols>
  <x:sheetData>
    <x:row r="1" ht="30" customHeight="1">
      <x:c r="A1" s="50" t="str">
        <x:v>被扶养人生活费（逐人、逐年封顶）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</x:row>
    <x:row r="2" ht="32" customHeight="1">
      <x:c r="A2" s="51" t="str">
        <x:v>每人先算年度原始额，再逐年合并并以城镇居民人均消费支出封顶。不同生日/到期日需要更细期间时，扩展期间表并人工复核。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</x:row>
    <x:row r="4">
      <x:c r="A4" s="53" t="str">
        <x:v>DEP ID</x:v>
      </x:c>
      <x:c r="B4" s="53" t="str">
        <x:v>姓名</x:v>
      </x:c>
      <x:c r="C4" s="53" t="str">
        <x:v>关系</x:v>
      </x:c>
      <x:c r="D4" s="53" t="str">
        <x:v>类型</x:v>
      </x:c>
      <x:c r="E4" s="53" t="str">
        <x:v>出生日期</x:v>
      </x:c>
      <x:c r="F4" s="53" t="str">
        <x:v>计算基准日</x:v>
      </x:c>
      <x:c r="G4" s="53" t="str">
        <x:v>周岁</x:v>
      </x:c>
      <x:c r="H4" s="53" t="str">
        <x:v>认可剩余年限</x:v>
      </x:c>
      <x:c r="I4" s="53" t="str">
        <x:v>扶养义务人数</x:v>
      </x:c>
      <x:c r="J4" s="53" t="str">
        <x:v>受害人份额</x:v>
      </x:c>
      <x:c r="K4" s="53" t="str">
        <x:v>消费标准</x:v>
      </x:c>
      <x:c r="L4" s="53" t="str">
        <x:v>劳动能力系数</x:v>
      </x:c>
      <x:c r="M4" s="53" t="str">
        <x:v>年度原始额</x:v>
      </x:c>
      <x:c r="N4" s="53" t="str">
        <x:v>证据ID</x:v>
      </x:c>
      <x:c r="O4" s="53" t="str">
        <x:v>页码/说明</x:v>
      </x:c>
    </x:row>
    <x:row r="5">
      <x:c r="A5" s="54" t="str">
        <x:v>DEP-001</x:v>
      </x:c>
      <x:c r="B5" s="55" t="str"/>
      <x:c r="C5" s="55" t="str"/>
      <x:c r="D5" s="55" t="str"/>
      <x:c r="E5" s="62" t="str"/>
      <x:c r="F5" s="62" t="str"/>
      <x:c r="G5" s="58" t="str">
        <x:f>IF(OR(E5="",F5=""),"",DATEDIF(E5,F5,"Y"))</x:f>
      </x:c>
      <x:c r="H5" s="55" t="str"/>
      <x:c r="I5" s="55" t="str"/>
      <x:c r="J5" s="70" t="str">
        <x:f>IF(B5="","",IF(I5&gt;0,1/I5,""))</x:f>
      </x:c>
      <x:c r="K5" s="66" t="n">
        <x:f>'07_法源参数'!C13</x:f>
        <x:v>0</x:v>
      </x:c>
      <x:c r="L5" s="65" t="str"/>
      <x:c r="M5" s="66" t="str">
        <x:f>IF(B5="","",IF(OR(J5="",K5="",L5=""),"",K5*J5*L5))</x:f>
      </x:c>
      <x:c r="N5" s="55" t="str"/>
      <x:c r="O5" s="55" t="str"/>
    </x:row>
    <x:row r="6">
      <x:c r="A6" s="54" t="str">
        <x:v>DEP-002</x:v>
      </x:c>
      <x:c r="B6" s="55" t="str"/>
      <x:c r="C6" s="55" t="str"/>
      <x:c r="D6" s="55" t="str"/>
      <x:c r="E6" s="62" t="str"/>
      <x:c r="F6" s="62" t="str"/>
      <x:c r="G6" s="58" t="str">
        <x:f>IF(OR(E6="",F6=""),"",DATEDIF(E6,F6,"Y"))</x:f>
      </x:c>
      <x:c r="H6" s="55" t="str"/>
      <x:c r="I6" s="55" t="str"/>
      <x:c r="J6" s="70" t="str">
        <x:f>IF(B6="","",IF(I6&gt;0,1/I6,""))</x:f>
      </x:c>
      <x:c r="K6" s="66" t="n">
        <x:f>'07_法源参数'!C13</x:f>
        <x:v>0</x:v>
      </x:c>
      <x:c r="L6" s="65" t="str"/>
      <x:c r="M6" s="66" t="str">
        <x:f>IF(B6="","",IF(OR(J6="",K6="",L6=""),"",K6*J6*L6))</x:f>
      </x:c>
      <x:c r="N6" s="55" t="str"/>
      <x:c r="O6" s="55" t="str"/>
    </x:row>
    <x:row r="7">
      <x:c r="A7" s="54" t="str">
        <x:v>DEP-003</x:v>
      </x:c>
      <x:c r="B7" s="55" t="str"/>
      <x:c r="C7" s="55" t="str"/>
      <x:c r="D7" s="55" t="str"/>
      <x:c r="E7" s="62" t="str"/>
      <x:c r="F7" s="62" t="str"/>
      <x:c r="G7" s="58" t="str">
        <x:f>IF(OR(E7="",F7=""),"",DATEDIF(E7,F7,"Y"))</x:f>
      </x:c>
      <x:c r="H7" s="55" t="str"/>
      <x:c r="I7" s="55" t="str"/>
      <x:c r="J7" s="70" t="str">
        <x:f>IF(B7="","",IF(I7&gt;0,1/I7,""))</x:f>
      </x:c>
      <x:c r="K7" s="66" t="n">
        <x:f>'07_法源参数'!C13</x:f>
        <x:v>0</x:v>
      </x:c>
      <x:c r="L7" s="65" t="str"/>
      <x:c r="M7" s="66" t="str">
        <x:f>IF(B7="","",IF(OR(J7="",K7="",L7=""),"",K7*J7*L7))</x:f>
      </x:c>
      <x:c r="N7" s="55" t="str"/>
      <x:c r="O7" s="55" t="str"/>
    </x:row>
    <x:row r="8">
      <x:c r="A8" s="54" t="str">
        <x:v>DEP-004</x:v>
      </x:c>
      <x:c r="B8" s="55" t="str"/>
      <x:c r="C8" s="55" t="str"/>
      <x:c r="D8" s="55" t="str"/>
      <x:c r="E8" s="62" t="str"/>
      <x:c r="F8" s="62" t="str"/>
      <x:c r="G8" s="58" t="str">
        <x:f>IF(OR(E8="",F8=""),"",DATEDIF(E8,F8,"Y"))</x:f>
      </x:c>
      <x:c r="H8" s="55" t="str"/>
      <x:c r="I8" s="55" t="str"/>
      <x:c r="J8" s="70" t="str">
        <x:f>IF(B8="","",IF(I8&gt;0,1/I8,""))</x:f>
      </x:c>
      <x:c r="K8" s="66" t="n">
        <x:f>'07_法源参数'!C13</x:f>
        <x:v>0</x:v>
      </x:c>
      <x:c r="L8" s="65" t="str"/>
      <x:c r="M8" s="66" t="str">
        <x:f>IF(B8="","",IF(OR(J8="",K8="",L8=""),"",K8*J8*L8))</x:f>
      </x:c>
      <x:c r="N8" s="55" t="str"/>
      <x:c r="O8" s="55" t="str"/>
    </x:row>
    <x:row r="9">
      <x:c r="A9" s="54" t="str">
        <x:v>DEP-005</x:v>
      </x:c>
      <x:c r="B9" s="55" t="str"/>
      <x:c r="C9" s="55" t="str"/>
      <x:c r="D9" s="55" t="str"/>
      <x:c r="E9" s="62" t="str"/>
      <x:c r="F9" s="62" t="str"/>
      <x:c r="G9" s="58" t="str">
        <x:f>IF(OR(E9="",F9=""),"",DATEDIF(E9,F9,"Y"))</x:f>
      </x:c>
      <x:c r="H9" s="55" t="str"/>
      <x:c r="I9" s="55" t="str"/>
      <x:c r="J9" s="70" t="str">
        <x:f>IF(B9="","",IF(I9&gt;0,1/I9,""))</x:f>
      </x:c>
      <x:c r="K9" s="66" t="n">
        <x:f>'07_法源参数'!C13</x:f>
        <x:v>0</x:v>
      </x:c>
      <x:c r="L9" s="65" t="str"/>
      <x:c r="M9" s="66" t="str">
        <x:f>IF(B9="","",IF(OR(J9="",K9="",L9=""),"",K9*J9*L9))</x:f>
      </x:c>
      <x:c r="N9" s="55" t="str"/>
      <x:c r="O9" s="55" t="str"/>
    </x:row>
    <x:row r="10">
      <x:c r="A10" s="54" t="str">
        <x:v>DEP-006</x:v>
      </x:c>
      <x:c r="B10" s="55" t="str"/>
      <x:c r="C10" s="55" t="str"/>
      <x:c r="D10" s="55" t="str"/>
      <x:c r="E10" s="62" t="str"/>
      <x:c r="F10" s="62" t="str"/>
      <x:c r="G10" s="58" t="str">
        <x:f>IF(OR(E10="",F10=""),"",DATEDIF(E10,F10,"Y"))</x:f>
      </x:c>
      <x:c r="H10" s="55" t="str"/>
      <x:c r="I10" s="55" t="str"/>
      <x:c r="J10" s="70" t="str">
        <x:f>IF(B10="","",IF(I10&gt;0,1/I10,""))</x:f>
      </x:c>
      <x:c r="K10" s="66" t="n">
        <x:f>'07_法源参数'!C13</x:f>
        <x:v>0</x:v>
      </x:c>
      <x:c r="L10" s="65" t="str"/>
      <x:c r="M10" s="66" t="str">
        <x:f>IF(B10="","",IF(OR(J10="",K10="",L10=""),"",K10*J10*L10))</x:f>
      </x:c>
      <x:c r="N10" s="55" t="str"/>
      <x:c r="O10" s="55" t="str"/>
    </x:row>
    <x:row r="11">
      <x:c r="A11" s="54" t="str">
        <x:v>DEP-007</x:v>
      </x:c>
      <x:c r="B11" s="55" t="str"/>
      <x:c r="C11" s="55" t="str"/>
      <x:c r="D11" s="55" t="str"/>
      <x:c r="E11" s="62" t="str"/>
      <x:c r="F11" s="62" t="str"/>
      <x:c r="G11" s="58" t="str">
        <x:f>IF(OR(E11="",F11=""),"",DATEDIF(E11,F11,"Y"))</x:f>
      </x:c>
      <x:c r="H11" s="55" t="str"/>
      <x:c r="I11" s="55" t="str"/>
      <x:c r="J11" s="70" t="str">
        <x:f>IF(B11="","",IF(I11&gt;0,1/I11,""))</x:f>
      </x:c>
      <x:c r="K11" s="66" t="n">
        <x:f>'07_法源参数'!C13</x:f>
        <x:v>0</x:v>
      </x:c>
      <x:c r="L11" s="65" t="str"/>
      <x:c r="M11" s="66" t="str">
        <x:f>IF(B11="","",IF(OR(J11="",K11="",L11=""),"",K11*J11*L11))</x:f>
      </x:c>
      <x:c r="N11" s="55" t="str"/>
      <x:c r="O11" s="55" t="str"/>
    </x:row>
    <x:row r="12">
      <x:c r="A12" s="54" t="str">
        <x:v>DEP-008</x:v>
      </x:c>
      <x:c r="B12" s="55" t="str"/>
      <x:c r="C12" s="55" t="str"/>
      <x:c r="D12" s="55" t="str"/>
      <x:c r="E12" s="62" t="str"/>
      <x:c r="F12" s="62" t="str"/>
      <x:c r="G12" s="58" t="str">
        <x:f>IF(OR(E12="",F12=""),"",DATEDIF(E12,F12,"Y"))</x:f>
      </x:c>
      <x:c r="H12" s="55" t="str"/>
      <x:c r="I12" s="55" t="str"/>
      <x:c r="J12" s="70" t="str">
        <x:f>IF(B12="","",IF(I12&gt;0,1/I12,""))</x:f>
      </x:c>
      <x:c r="K12" s="66" t="n">
        <x:f>'07_法源参数'!C13</x:f>
        <x:v>0</x:v>
      </x:c>
      <x:c r="L12" s="65" t="str"/>
      <x:c r="M12" s="66" t="str">
        <x:f>IF(B12="","",IF(OR(J12="",K12="",L12=""),"",K12*J12*L12))</x:f>
      </x:c>
      <x:c r="N12" s="55" t="str"/>
      <x:c r="O12" s="55" t="str"/>
    </x:row>
    <x:row r="13">
      <x:c r="A13" s="54" t="str">
        <x:v>DEP-009</x:v>
      </x:c>
      <x:c r="B13" s="55" t="str"/>
      <x:c r="C13" s="55" t="str"/>
      <x:c r="D13" s="55" t="str"/>
      <x:c r="E13" s="62" t="str"/>
      <x:c r="F13" s="62" t="str"/>
      <x:c r="G13" s="58" t="str">
        <x:f>IF(OR(E13="",F13=""),"",DATEDIF(E13,F13,"Y"))</x:f>
      </x:c>
      <x:c r="H13" s="55" t="str"/>
      <x:c r="I13" s="55" t="str"/>
      <x:c r="J13" s="70" t="str">
        <x:f>IF(B13="","",IF(I13&gt;0,1/I13,""))</x:f>
      </x:c>
      <x:c r="K13" s="66" t="n">
        <x:f>'07_法源参数'!C13</x:f>
        <x:v>0</x:v>
      </x:c>
      <x:c r="L13" s="65" t="str"/>
      <x:c r="M13" s="66" t="str">
        <x:f>IF(B13="","",IF(OR(J13="",K13="",L13=""),"",K13*J13*L13))</x:f>
      </x:c>
      <x:c r="N13" s="55" t="str"/>
      <x:c r="O13" s="55" t="str"/>
    </x:row>
    <x:row r="14">
      <x:c r="A14" s="54" t="str">
        <x:v>DEP-010</x:v>
      </x:c>
      <x:c r="B14" s="55" t="str"/>
      <x:c r="C14" s="55" t="str"/>
      <x:c r="D14" s="55" t="str"/>
      <x:c r="E14" s="62" t="str"/>
      <x:c r="F14" s="62" t="str"/>
      <x:c r="G14" s="58" t="str">
        <x:f>IF(OR(E14="",F14=""),"",DATEDIF(E14,F14,"Y"))</x:f>
      </x:c>
      <x:c r="H14" s="55" t="str"/>
      <x:c r="I14" s="55" t="str"/>
      <x:c r="J14" s="70" t="str">
        <x:f>IF(B14="","",IF(I14&gt;0,1/I14,""))</x:f>
      </x:c>
      <x:c r="K14" s="66" t="n">
        <x:f>'07_法源参数'!C13</x:f>
        <x:v>0</x:v>
      </x:c>
      <x:c r="L14" s="65" t="str"/>
      <x:c r="M14" s="66" t="str">
        <x:f>IF(B14="","",IF(OR(J14="",K14="",L14=""),"",K14*J14*L14))</x:f>
      </x:c>
      <x:c r="N14" s="55" t="str"/>
      <x:c r="O14" s="55" t="str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</x:row>
    <x:row r="17">
      <x:c r="A17" s="53" t="str">
        <x:v>期间序号</x:v>
      </x:c>
      <x:c r="B17" s="53" t="str">
        <x:v>DEP-001</x:v>
      </x:c>
      <x:c r="C17" s="53" t="str">
        <x:v>DEP-002</x:v>
      </x:c>
      <x:c r="D17" s="53" t="str">
        <x:v>DEP-003</x:v>
      </x:c>
      <x:c r="E17" s="53" t="str">
        <x:v>DEP-004</x:v>
      </x:c>
      <x:c r="F17" s="53" t="str">
        <x:v>DEP-005</x:v>
      </x:c>
      <x:c r="G17" s="53" t="str">
        <x:v>DEP-006</x:v>
      </x:c>
      <x:c r="H17" s="53" t="str">
        <x:v>DEP-007</x:v>
      </x:c>
      <x:c r="I17" s="53" t="str">
        <x:v>DEP-008</x:v>
      </x:c>
      <x:c r="J17" s="53" t="str">
        <x:v>DEP-009</x:v>
      </x:c>
      <x:c r="K17" s="53" t="str">
        <x:v>DEP-010</x:v>
      </x:c>
      <x:c r="L17" s="53" t="str">
        <x:v>本期原始合计</x:v>
      </x:c>
      <x:c r="M17" s="53" t="str">
        <x:v>本期有效比例</x:v>
      </x:c>
      <x:c r="N17" s="53" t="str">
        <x:v>本期年度上限</x:v>
      </x:c>
      <x:c r="O17" s="53" t="str">
        <x:v>本期认可合计</x:v>
      </x:c>
    </x:row>
    <x:row r="18">
      <x:c r="A18" s="54" t="n">
        <x:v>1</x:v>
      </x:c>
      <x:c r="B18" s="66" t="n">
        <x:f>IF($B$5="",0,$M$5*MAX(0,MIN(1,$H$5-$A18+1)))</x:f>
        <x:v>0</x:v>
      </x:c>
      <x:c r="C18" s="66" t="n">
        <x:f>IF($B$6="",0,$M$6*MAX(0,MIN(1,$H$6-$A18+1)))</x:f>
        <x:v>0</x:v>
      </x:c>
      <x:c r="D18" s="66" t="n">
        <x:f>IF($B$7="",0,$M$7*MAX(0,MIN(1,$H$7-$A18+1)))</x:f>
        <x:v>0</x:v>
      </x:c>
      <x:c r="E18" s="66" t="n">
        <x:f>IF($B$8="",0,$M$8*MAX(0,MIN(1,$H$8-$A18+1)))</x:f>
        <x:v>0</x:v>
      </x:c>
      <x:c r="F18" s="66" t="n">
        <x:f>IF($B$9="",0,$M$9*MAX(0,MIN(1,$H$9-$A18+1)))</x:f>
        <x:v>0</x:v>
      </x:c>
      <x:c r="G18" s="66" t="n">
        <x:f>IF($B$10="",0,$M$10*MAX(0,MIN(1,$H$10-$A18+1)))</x:f>
        <x:v>0</x:v>
      </x:c>
      <x:c r="H18" s="66" t="n">
        <x:f>IF($B$11="",0,$M$11*MAX(0,MIN(1,$H$11-$A18+1)))</x:f>
        <x:v>0</x:v>
      </x:c>
      <x:c r="I18" s="66" t="n">
        <x:f>IF($B$12="",0,$M$12*MAX(0,MIN(1,$H$12-$A18+1)))</x:f>
        <x:v>0</x:v>
      </x:c>
      <x:c r="J18" s="66" t="n">
        <x:f>IF($B$13="",0,$M$13*MAX(0,MIN(1,$H$13-$A18+1)))</x:f>
        <x:v>0</x:v>
      </x:c>
      <x:c r="K18" s="66" t="n">
        <x:f>IF($B$14="",0,$M$14*MAX(0,MIN(1,$H$14-$A18+1)))</x:f>
        <x:v>0</x:v>
      </x:c>
      <x:c r="L18" s="66" t="n">
        <x:f>SUM(B18:K18)</x:f>
        <x:v>0</x:v>
      </x:c>
      <x:c r="M18" s="71" t="n">
        <x:f>MAX(MAX(0,MIN(1,$H$5-$A18+1)),MAX(0,MIN(1,$H$6-$A18+1)),MAX(0,MIN(1,$H$7-$A18+1)),MAX(0,MIN(1,$H$8-$A18+1)),MAX(0,MIN(1,$H$9-$A18+1)),MAX(0,MIN(1,$H$10-$A18+1)),MAX(0,MIN(1,$H$11-$A18+1)),MAX(0,MIN(1,$H$12-$A18+1)),MAX(0,MIN(1,$H$13-$A18+1)),MAX(0,MIN(1,$H$14-$A18+1)))</x:f>
        <x:v>0</x:v>
      </x:c>
      <x:c r="N18" s="66" t="n">
        <x:f>IF('07_法源参数'!C13="",0,'07_法源参数'!C13*M18)</x:f>
        <x:v>0</x:v>
      </x:c>
      <x:c r="O18" s="66" t="n">
        <x:f>MIN(L18,N18)</x:f>
        <x:v>0</x:v>
      </x:c>
    </x:row>
    <x:row r="19">
      <x:c r="A19" s="54" t="n">
        <x:v>2</x:v>
      </x:c>
      <x:c r="B19" s="66" t="n">
        <x:f>IF($B$5="",0,$M$5*MAX(0,MIN(1,$H$5-$A19+1)))</x:f>
        <x:v>0</x:v>
      </x:c>
      <x:c r="C19" s="66" t="n">
        <x:f>IF($B$6="",0,$M$6*MAX(0,MIN(1,$H$6-$A19+1)))</x:f>
        <x:v>0</x:v>
      </x:c>
      <x:c r="D19" s="66" t="n">
        <x:f>IF($B$7="",0,$M$7*MAX(0,MIN(1,$H$7-$A19+1)))</x:f>
        <x:v>0</x:v>
      </x:c>
      <x:c r="E19" s="66" t="n">
        <x:f>IF($B$8="",0,$M$8*MAX(0,MIN(1,$H$8-$A19+1)))</x:f>
        <x:v>0</x:v>
      </x:c>
      <x:c r="F19" s="66" t="n">
        <x:f>IF($B$9="",0,$M$9*MAX(0,MIN(1,$H$9-$A19+1)))</x:f>
        <x:v>0</x:v>
      </x:c>
      <x:c r="G19" s="66" t="n">
        <x:f>IF($B$10="",0,$M$10*MAX(0,MIN(1,$H$10-$A19+1)))</x:f>
        <x:v>0</x:v>
      </x:c>
      <x:c r="H19" s="66" t="n">
        <x:f>IF($B$11="",0,$M$11*MAX(0,MIN(1,$H$11-$A19+1)))</x:f>
        <x:v>0</x:v>
      </x:c>
      <x:c r="I19" s="66" t="n">
        <x:f>IF($B$12="",0,$M$12*MAX(0,MIN(1,$H$12-$A19+1)))</x:f>
        <x:v>0</x:v>
      </x:c>
      <x:c r="J19" s="66" t="n">
        <x:f>IF($B$13="",0,$M$13*MAX(0,MIN(1,$H$13-$A19+1)))</x:f>
        <x:v>0</x:v>
      </x:c>
      <x:c r="K19" s="66" t="n">
        <x:f>IF($B$14="",0,$M$14*MAX(0,MIN(1,$H$14-$A19+1)))</x:f>
        <x:v>0</x:v>
      </x:c>
      <x:c r="L19" s="66" t="n">
        <x:f>SUM(B19:K19)</x:f>
        <x:v>0</x:v>
      </x:c>
      <x:c r="M19" s="71" t="n">
        <x:f>MAX(MAX(0,MIN(1,$H$5-$A19+1)),MAX(0,MIN(1,$H$6-$A19+1)),MAX(0,MIN(1,$H$7-$A19+1)),MAX(0,MIN(1,$H$8-$A19+1)),MAX(0,MIN(1,$H$9-$A19+1)),MAX(0,MIN(1,$H$10-$A19+1)),MAX(0,MIN(1,$H$11-$A19+1)),MAX(0,MIN(1,$H$12-$A19+1)),MAX(0,MIN(1,$H$13-$A19+1)),MAX(0,MIN(1,$H$14-$A19+1)))</x:f>
        <x:v>0</x:v>
      </x:c>
      <x:c r="N19" s="66" t="n">
        <x:f>IF('07_法源参数'!C13="",0,'07_法源参数'!C13*M19)</x:f>
        <x:v>0</x:v>
      </x:c>
      <x:c r="O19" s="66" t="n">
        <x:f>MIN(L19,N19)</x:f>
        <x:v>0</x:v>
      </x:c>
    </x:row>
    <x:row r="20">
      <x:c r="A20" s="54" t="n">
        <x:v>3</x:v>
      </x:c>
      <x:c r="B20" s="66" t="n">
        <x:f>IF($B$5="",0,$M$5*MAX(0,MIN(1,$H$5-$A20+1)))</x:f>
        <x:v>0</x:v>
      </x:c>
      <x:c r="C20" s="66" t="n">
        <x:f>IF($B$6="",0,$M$6*MAX(0,MIN(1,$H$6-$A20+1)))</x:f>
        <x:v>0</x:v>
      </x:c>
      <x:c r="D20" s="66" t="n">
        <x:f>IF($B$7="",0,$M$7*MAX(0,MIN(1,$H$7-$A20+1)))</x:f>
        <x:v>0</x:v>
      </x:c>
      <x:c r="E20" s="66" t="n">
        <x:f>IF($B$8="",0,$M$8*MAX(0,MIN(1,$H$8-$A20+1)))</x:f>
        <x:v>0</x:v>
      </x:c>
      <x:c r="F20" s="66" t="n">
        <x:f>IF($B$9="",0,$M$9*MAX(0,MIN(1,$H$9-$A20+1)))</x:f>
        <x:v>0</x:v>
      </x:c>
      <x:c r="G20" s="66" t="n">
        <x:f>IF($B$10="",0,$M$10*MAX(0,MIN(1,$H$10-$A20+1)))</x:f>
        <x:v>0</x:v>
      </x:c>
      <x:c r="H20" s="66" t="n">
        <x:f>IF($B$11="",0,$M$11*MAX(0,MIN(1,$H$11-$A20+1)))</x:f>
        <x:v>0</x:v>
      </x:c>
      <x:c r="I20" s="66" t="n">
        <x:f>IF($B$12="",0,$M$12*MAX(0,MIN(1,$H$12-$A20+1)))</x:f>
        <x:v>0</x:v>
      </x:c>
      <x:c r="J20" s="66" t="n">
        <x:f>IF($B$13="",0,$M$13*MAX(0,MIN(1,$H$13-$A20+1)))</x:f>
        <x:v>0</x:v>
      </x:c>
      <x:c r="K20" s="66" t="n">
        <x:f>IF($B$14="",0,$M$14*MAX(0,MIN(1,$H$14-$A20+1)))</x:f>
        <x:v>0</x:v>
      </x:c>
      <x:c r="L20" s="66" t="n">
        <x:f>SUM(B20:K20)</x:f>
        <x:v>0</x:v>
      </x:c>
      <x:c r="M20" s="71" t="n">
        <x:f>MAX(MAX(0,MIN(1,$H$5-$A20+1)),MAX(0,MIN(1,$H$6-$A20+1)),MAX(0,MIN(1,$H$7-$A20+1)),MAX(0,MIN(1,$H$8-$A20+1)),MAX(0,MIN(1,$H$9-$A20+1)),MAX(0,MIN(1,$H$10-$A20+1)),MAX(0,MIN(1,$H$11-$A20+1)),MAX(0,MIN(1,$H$12-$A20+1)),MAX(0,MIN(1,$H$13-$A20+1)),MAX(0,MIN(1,$H$14-$A20+1)))</x:f>
        <x:v>0</x:v>
      </x:c>
      <x:c r="N20" s="66" t="n">
        <x:f>IF('07_法源参数'!C13="",0,'07_法源参数'!C13*M20)</x:f>
        <x:v>0</x:v>
      </x:c>
      <x:c r="O20" s="66" t="n">
        <x:f>MIN(L20,N20)</x:f>
        <x:v>0</x:v>
      </x:c>
    </x:row>
    <x:row r="21">
      <x:c r="A21" s="54" t="n">
        <x:v>4</x:v>
      </x:c>
      <x:c r="B21" s="66" t="n">
        <x:f>IF($B$5="",0,$M$5*MAX(0,MIN(1,$H$5-$A21+1)))</x:f>
        <x:v>0</x:v>
      </x:c>
      <x:c r="C21" s="66" t="n">
        <x:f>IF($B$6="",0,$M$6*MAX(0,MIN(1,$H$6-$A21+1)))</x:f>
        <x:v>0</x:v>
      </x:c>
      <x:c r="D21" s="66" t="n">
        <x:f>IF($B$7="",0,$M$7*MAX(0,MIN(1,$H$7-$A21+1)))</x:f>
        <x:v>0</x:v>
      </x:c>
      <x:c r="E21" s="66" t="n">
        <x:f>IF($B$8="",0,$M$8*MAX(0,MIN(1,$H$8-$A21+1)))</x:f>
        <x:v>0</x:v>
      </x:c>
      <x:c r="F21" s="66" t="n">
        <x:f>IF($B$9="",0,$M$9*MAX(0,MIN(1,$H$9-$A21+1)))</x:f>
        <x:v>0</x:v>
      </x:c>
      <x:c r="G21" s="66" t="n">
        <x:f>IF($B$10="",0,$M$10*MAX(0,MIN(1,$H$10-$A21+1)))</x:f>
        <x:v>0</x:v>
      </x:c>
      <x:c r="H21" s="66" t="n">
        <x:f>IF($B$11="",0,$M$11*MAX(0,MIN(1,$H$11-$A21+1)))</x:f>
        <x:v>0</x:v>
      </x:c>
      <x:c r="I21" s="66" t="n">
        <x:f>IF($B$12="",0,$M$12*MAX(0,MIN(1,$H$12-$A21+1)))</x:f>
        <x:v>0</x:v>
      </x:c>
      <x:c r="J21" s="66" t="n">
        <x:f>IF($B$13="",0,$M$13*MAX(0,MIN(1,$H$13-$A21+1)))</x:f>
        <x:v>0</x:v>
      </x:c>
      <x:c r="K21" s="66" t="n">
        <x:f>IF($B$14="",0,$M$14*MAX(0,MIN(1,$H$14-$A21+1)))</x:f>
        <x:v>0</x:v>
      </x:c>
      <x:c r="L21" s="66" t="n">
        <x:f>SUM(B21:K21)</x:f>
        <x:v>0</x:v>
      </x:c>
      <x:c r="M21" s="71" t="n">
        <x:f>MAX(MAX(0,MIN(1,$H$5-$A21+1)),MAX(0,MIN(1,$H$6-$A21+1)),MAX(0,MIN(1,$H$7-$A21+1)),MAX(0,MIN(1,$H$8-$A21+1)),MAX(0,MIN(1,$H$9-$A21+1)),MAX(0,MIN(1,$H$10-$A21+1)),MAX(0,MIN(1,$H$11-$A21+1)),MAX(0,MIN(1,$H$12-$A21+1)),MAX(0,MIN(1,$H$13-$A21+1)),MAX(0,MIN(1,$H$14-$A21+1)))</x:f>
        <x:v>0</x:v>
      </x:c>
      <x:c r="N21" s="66" t="n">
        <x:f>IF('07_法源参数'!C13="",0,'07_法源参数'!C13*M21)</x:f>
        <x:v>0</x:v>
      </x:c>
      <x:c r="O21" s="66" t="n">
        <x:f>MIN(L21,N21)</x:f>
        <x:v>0</x:v>
      </x:c>
    </x:row>
    <x:row r="22">
      <x:c r="A22" s="54" t="n">
        <x:v>5</x:v>
      </x:c>
      <x:c r="B22" s="66" t="n">
        <x:f>IF($B$5="",0,$M$5*MAX(0,MIN(1,$H$5-$A22+1)))</x:f>
        <x:v>0</x:v>
      </x:c>
      <x:c r="C22" s="66" t="n">
        <x:f>IF($B$6="",0,$M$6*MAX(0,MIN(1,$H$6-$A22+1)))</x:f>
        <x:v>0</x:v>
      </x:c>
      <x:c r="D22" s="66" t="n">
        <x:f>IF($B$7="",0,$M$7*MAX(0,MIN(1,$H$7-$A22+1)))</x:f>
        <x:v>0</x:v>
      </x:c>
      <x:c r="E22" s="66" t="n">
        <x:f>IF($B$8="",0,$M$8*MAX(0,MIN(1,$H$8-$A22+1)))</x:f>
        <x:v>0</x:v>
      </x:c>
      <x:c r="F22" s="66" t="n">
        <x:f>IF($B$9="",0,$M$9*MAX(0,MIN(1,$H$9-$A22+1)))</x:f>
        <x:v>0</x:v>
      </x:c>
      <x:c r="G22" s="66" t="n">
        <x:f>IF($B$10="",0,$M$10*MAX(0,MIN(1,$H$10-$A22+1)))</x:f>
        <x:v>0</x:v>
      </x:c>
      <x:c r="H22" s="66" t="n">
        <x:f>IF($B$11="",0,$M$11*MAX(0,MIN(1,$H$11-$A22+1)))</x:f>
        <x:v>0</x:v>
      </x:c>
      <x:c r="I22" s="66" t="n">
        <x:f>IF($B$12="",0,$M$12*MAX(0,MIN(1,$H$12-$A22+1)))</x:f>
        <x:v>0</x:v>
      </x:c>
      <x:c r="J22" s="66" t="n">
        <x:f>IF($B$13="",0,$M$13*MAX(0,MIN(1,$H$13-$A22+1)))</x:f>
        <x:v>0</x:v>
      </x:c>
      <x:c r="K22" s="66" t="n">
        <x:f>IF($B$14="",0,$M$14*MAX(0,MIN(1,$H$14-$A22+1)))</x:f>
        <x:v>0</x:v>
      </x:c>
      <x:c r="L22" s="66" t="n">
        <x:f>SUM(B22:K22)</x:f>
        <x:v>0</x:v>
      </x:c>
      <x:c r="M22" s="71" t="n">
        <x:f>MAX(MAX(0,MIN(1,$H$5-$A22+1)),MAX(0,MIN(1,$H$6-$A22+1)),MAX(0,MIN(1,$H$7-$A22+1)),MAX(0,MIN(1,$H$8-$A22+1)),MAX(0,MIN(1,$H$9-$A22+1)),MAX(0,MIN(1,$H$10-$A22+1)),MAX(0,MIN(1,$H$11-$A22+1)),MAX(0,MIN(1,$H$12-$A22+1)),MAX(0,MIN(1,$H$13-$A22+1)),MAX(0,MIN(1,$H$14-$A22+1)))</x:f>
        <x:v>0</x:v>
      </x:c>
      <x:c r="N22" s="66" t="n">
        <x:f>IF('07_法源参数'!C13="",0,'07_法源参数'!C13*M22)</x:f>
        <x:v>0</x:v>
      </x:c>
      <x:c r="O22" s="66" t="n">
        <x:f>MIN(L22,N22)</x:f>
        <x:v>0</x:v>
      </x:c>
    </x:row>
    <x:row r="23">
      <x:c r="A23" s="54" t="n">
        <x:v>6</x:v>
      </x:c>
      <x:c r="B23" s="66" t="n">
        <x:f>IF($B$5="",0,$M$5*MAX(0,MIN(1,$H$5-$A23+1)))</x:f>
        <x:v>0</x:v>
      </x:c>
      <x:c r="C23" s="66" t="n">
        <x:f>IF($B$6="",0,$M$6*MAX(0,MIN(1,$H$6-$A23+1)))</x:f>
        <x:v>0</x:v>
      </x:c>
      <x:c r="D23" s="66" t="n">
        <x:f>IF($B$7="",0,$M$7*MAX(0,MIN(1,$H$7-$A23+1)))</x:f>
        <x:v>0</x:v>
      </x:c>
      <x:c r="E23" s="66" t="n">
        <x:f>IF($B$8="",0,$M$8*MAX(0,MIN(1,$H$8-$A23+1)))</x:f>
        <x:v>0</x:v>
      </x:c>
      <x:c r="F23" s="66" t="n">
        <x:f>IF($B$9="",0,$M$9*MAX(0,MIN(1,$H$9-$A23+1)))</x:f>
        <x:v>0</x:v>
      </x:c>
      <x:c r="G23" s="66" t="n">
        <x:f>IF($B$10="",0,$M$10*MAX(0,MIN(1,$H$10-$A23+1)))</x:f>
        <x:v>0</x:v>
      </x:c>
      <x:c r="H23" s="66" t="n">
        <x:f>IF($B$11="",0,$M$11*MAX(0,MIN(1,$H$11-$A23+1)))</x:f>
        <x:v>0</x:v>
      </x:c>
      <x:c r="I23" s="66" t="n">
        <x:f>IF($B$12="",0,$M$12*MAX(0,MIN(1,$H$12-$A23+1)))</x:f>
        <x:v>0</x:v>
      </x:c>
      <x:c r="J23" s="66" t="n">
        <x:f>IF($B$13="",0,$M$13*MAX(0,MIN(1,$H$13-$A23+1)))</x:f>
        <x:v>0</x:v>
      </x:c>
      <x:c r="K23" s="66" t="n">
        <x:f>IF($B$14="",0,$M$14*MAX(0,MIN(1,$H$14-$A23+1)))</x:f>
        <x:v>0</x:v>
      </x:c>
      <x:c r="L23" s="66" t="n">
        <x:f>SUM(B23:K23)</x:f>
        <x:v>0</x:v>
      </x:c>
      <x:c r="M23" s="71" t="n">
        <x:f>MAX(MAX(0,MIN(1,$H$5-$A23+1)),MAX(0,MIN(1,$H$6-$A23+1)),MAX(0,MIN(1,$H$7-$A23+1)),MAX(0,MIN(1,$H$8-$A23+1)),MAX(0,MIN(1,$H$9-$A23+1)),MAX(0,MIN(1,$H$10-$A23+1)),MAX(0,MIN(1,$H$11-$A23+1)),MAX(0,MIN(1,$H$12-$A23+1)),MAX(0,MIN(1,$H$13-$A23+1)),MAX(0,MIN(1,$H$14-$A23+1)))</x:f>
        <x:v>0</x:v>
      </x:c>
      <x:c r="N23" s="66" t="n">
        <x:f>IF('07_法源参数'!C13="",0,'07_法源参数'!C13*M23)</x:f>
        <x:v>0</x:v>
      </x:c>
      <x:c r="O23" s="66" t="n">
        <x:f>MIN(L23,N23)</x:f>
        <x:v>0</x:v>
      </x:c>
    </x:row>
    <x:row r="24">
      <x:c r="A24" s="54" t="n">
        <x:v>7</x:v>
      </x:c>
      <x:c r="B24" s="66" t="n">
        <x:f>IF($B$5="",0,$M$5*MAX(0,MIN(1,$H$5-$A24+1)))</x:f>
        <x:v>0</x:v>
      </x:c>
      <x:c r="C24" s="66" t="n">
        <x:f>IF($B$6="",0,$M$6*MAX(0,MIN(1,$H$6-$A24+1)))</x:f>
        <x:v>0</x:v>
      </x:c>
      <x:c r="D24" s="66" t="n">
        <x:f>IF($B$7="",0,$M$7*MAX(0,MIN(1,$H$7-$A24+1)))</x:f>
        <x:v>0</x:v>
      </x:c>
      <x:c r="E24" s="66" t="n">
        <x:f>IF($B$8="",0,$M$8*MAX(0,MIN(1,$H$8-$A24+1)))</x:f>
        <x:v>0</x:v>
      </x:c>
      <x:c r="F24" s="66" t="n">
        <x:f>IF($B$9="",0,$M$9*MAX(0,MIN(1,$H$9-$A24+1)))</x:f>
        <x:v>0</x:v>
      </x:c>
      <x:c r="G24" s="66" t="n">
        <x:f>IF($B$10="",0,$M$10*MAX(0,MIN(1,$H$10-$A24+1)))</x:f>
        <x:v>0</x:v>
      </x:c>
      <x:c r="H24" s="66" t="n">
        <x:f>IF($B$11="",0,$M$11*MAX(0,MIN(1,$H$11-$A24+1)))</x:f>
        <x:v>0</x:v>
      </x:c>
      <x:c r="I24" s="66" t="n">
        <x:f>IF($B$12="",0,$M$12*MAX(0,MIN(1,$H$12-$A24+1)))</x:f>
        <x:v>0</x:v>
      </x:c>
      <x:c r="J24" s="66" t="n">
        <x:f>IF($B$13="",0,$M$13*MAX(0,MIN(1,$H$13-$A24+1)))</x:f>
        <x:v>0</x:v>
      </x:c>
      <x:c r="K24" s="66" t="n">
        <x:f>IF($B$14="",0,$M$14*MAX(0,MIN(1,$H$14-$A24+1)))</x:f>
        <x:v>0</x:v>
      </x:c>
      <x:c r="L24" s="66" t="n">
        <x:f>SUM(B24:K24)</x:f>
        <x:v>0</x:v>
      </x:c>
      <x:c r="M24" s="71" t="n">
        <x:f>MAX(MAX(0,MIN(1,$H$5-$A24+1)),MAX(0,MIN(1,$H$6-$A24+1)),MAX(0,MIN(1,$H$7-$A24+1)),MAX(0,MIN(1,$H$8-$A24+1)),MAX(0,MIN(1,$H$9-$A24+1)),MAX(0,MIN(1,$H$10-$A24+1)),MAX(0,MIN(1,$H$11-$A24+1)),MAX(0,MIN(1,$H$12-$A24+1)),MAX(0,MIN(1,$H$13-$A24+1)),MAX(0,MIN(1,$H$14-$A24+1)))</x:f>
        <x:v>0</x:v>
      </x:c>
      <x:c r="N24" s="66" t="n">
        <x:f>IF('07_法源参数'!C13="",0,'07_法源参数'!C13*M24)</x:f>
        <x:v>0</x:v>
      </x:c>
      <x:c r="O24" s="66" t="n">
        <x:f>MIN(L24,N24)</x:f>
        <x:v>0</x:v>
      </x:c>
    </x:row>
    <x:row r="25">
      <x:c r="A25" s="54" t="n">
        <x:v>8</x:v>
      </x:c>
      <x:c r="B25" s="66" t="n">
        <x:f>IF($B$5="",0,$M$5*MAX(0,MIN(1,$H$5-$A25+1)))</x:f>
        <x:v>0</x:v>
      </x:c>
      <x:c r="C25" s="66" t="n">
        <x:f>IF($B$6="",0,$M$6*MAX(0,MIN(1,$H$6-$A25+1)))</x:f>
        <x:v>0</x:v>
      </x:c>
      <x:c r="D25" s="66" t="n">
        <x:f>IF($B$7="",0,$M$7*MAX(0,MIN(1,$H$7-$A25+1)))</x:f>
        <x:v>0</x:v>
      </x:c>
      <x:c r="E25" s="66" t="n">
        <x:f>IF($B$8="",0,$M$8*MAX(0,MIN(1,$H$8-$A25+1)))</x:f>
        <x:v>0</x:v>
      </x:c>
      <x:c r="F25" s="66" t="n">
        <x:f>IF($B$9="",0,$M$9*MAX(0,MIN(1,$H$9-$A25+1)))</x:f>
        <x:v>0</x:v>
      </x:c>
      <x:c r="G25" s="66" t="n">
        <x:f>IF($B$10="",0,$M$10*MAX(0,MIN(1,$H$10-$A25+1)))</x:f>
        <x:v>0</x:v>
      </x:c>
      <x:c r="H25" s="66" t="n">
        <x:f>IF($B$11="",0,$M$11*MAX(0,MIN(1,$H$11-$A25+1)))</x:f>
        <x:v>0</x:v>
      </x:c>
      <x:c r="I25" s="66" t="n">
        <x:f>IF($B$12="",0,$M$12*MAX(0,MIN(1,$H$12-$A25+1)))</x:f>
        <x:v>0</x:v>
      </x:c>
      <x:c r="J25" s="66" t="n">
        <x:f>IF($B$13="",0,$M$13*MAX(0,MIN(1,$H$13-$A25+1)))</x:f>
        <x:v>0</x:v>
      </x:c>
      <x:c r="K25" s="66" t="n">
        <x:f>IF($B$14="",0,$M$14*MAX(0,MIN(1,$H$14-$A25+1)))</x:f>
        <x:v>0</x:v>
      </x:c>
      <x:c r="L25" s="66" t="n">
        <x:f>SUM(B25:K25)</x:f>
        <x:v>0</x:v>
      </x:c>
      <x:c r="M25" s="71" t="n">
        <x:f>MAX(MAX(0,MIN(1,$H$5-$A25+1)),MAX(0,MIN(1,$H$6-$A25+1)),MAX(0,MIN(1,$H$7-$A25+1)),MAX(0,MIN(1,$H$8-$A25+1)),MAX(0,MIN(1,$H$9-$A25+1)),MAX(0,MIN(1,$H$10-$A25+1)),MAX(0,MIN(1,$H$11-$A25+1)),MAX(0,MIN(1,$H$12-$A25+1)),MAX(0,MIN(1,$H$13-$A25+1)),MAX(0,MIN(1,$H$14-$A25+1)))</x:f>
        <x:v>0</x:v>
      </x:c>
      <x:c r="N25" s="66" t="n">
        <x:f>IF('07_法源参数'!C13="",0,'07_法源参数'!C13*M25)</x:f>
        <x:v>0</x:v>
      </x:c>
      <x:c r="O25" s="66" t="n">
        <x:f>MIN(L25,N25)</x:f>
        <x:v>0</x:v>
      </x:c>
    </x:row>
    <x:row r="26">
      <x:c r="A26" s="54" t="n">
        <x:v>9</x:v>
      </x:c>
      <x:c r="B26" s="66" t="n">
        <x:f>IF($B$5="",0,$M$5*MAX(0,MIN(1,$H$5-$A26+1)))</x:f>
        <x:v>0</x:v>
      </x:c>
      <x:c r="C26" s="66" t="n">
        <x:f>IF($B$6="",0,$M$6*MAX(0,MIN(1,$H$6-$A26+1)))</x:f>
        <x:v>0</x:v>
      </x:c>
      <x:c r="D26" s="66" t="n">
        <x:f>IF($B$7="",0,$M$7*MAX(0,MIN(1,$H$7-$A26+1)))</x:f>
        <x:v>0</x:v>
      </x:c>
      <x:c r="E26" s="66" t="n">
        <x:f>IF($B$8="",0,$M$8*MAX(0,MIN(1,$H$8-$A26+1)))</x:f>
        <x:v>0</x:v>
      </x:c>
      <x:c r="F26" s="66" t="n">
        <x:f>IF($B$9="",0,$M$9*MAX(0,MIN(1,$H$9-$A26+1)))</x:f>
        <x:v>0</x:v>
      </x:c>
      <x:c r="G26" s="66" t="n">
        <x:f>IF($B$10="",0,$M$10*MAX(0,MIN(1,$H$10-$A26+1)))</x:f>
        <x:v>0</x:v>
      </x:c>
      <x:c r="H26" s="66" t="n">
        <x:f>IF($B$11="",0,$M$11*MAX(0,MIN(1,$H$11-$A26+1)))</x:f>
        <x:v>0</x:v>
      </x:c>
      <x:c r="I26" s="66" t="n">
        <x:f>IF($B$12="",0,$M$12*MAX(0,MIN(1,$H$12-$A26+1)))</x:f>
        <x:v>0</x:v>
      </x:c>
      <x:c r="J26" s="66" t="n">
        <x:f>IF($B$13="",0,$M$13*MAX(0,MIN(1,$H$13-$A26+1)))</x:f>
        <x:v>0</x:v>
      </x:c>
      <x:c r="K26" s="66" t="n">
        <x:f>IF($B$14="",0,$M$14*MAX(0,MIN(1,$H$14-$A26+1)))</x:f>
        <x:v>0</x:v>
      </x:c>
      <x:c r="L26" s="66" t="n">
        <x:f>SUM(B26:K26)</x:f>
        <x:v>0</x:v>
      </x:c>
      <x:c r="M26" s="71" t="n">
        <x:f>MAX(MAX(0,MIN(1,$H$5-$A26+1)),MAX(0,MIN(1,$H$6-$A26+1)),MAX(0,MIN(1,$H$7-$A26+1)),MAX(0,MIN(1,$H$8-$A26+1)),MAX(0,MIN(1,$H$9-$A26+1)),MAX(0,MIN(1,$H$10-$A26+1)),MAX(0,MIN(1,$H$11-$A26+1)),MAX(0,MIN(1,$H$12-$A26+1)),MAX(0,MIN(1,$H$13-$A26+1)),MAX(0,MIN(1,$H$14-$A26+1)))</x:f>
        <x:v>0</x:v>
      </x:c>
      <x:c r="N26" s="66" t="n">
        <x:f>IF('07_法源参数'!C13="",0,'07_法源参数'!C13*M26)</x:f>
        <x:v>0</x:v>
      </x:c>
      <x:c r="O26" s="66" t="n">
        <x:f>MIN(L26,N26)</x:f>
        <x:v>0</x:v>
      </x:c>
    </x:row>
    <x:row r="27">
      <x:c r="A27" s="54" t="n">
        <x:v>10</x:v>
      </x:c>
      <x:c r="B27" s="66" t="n">
        <x:f>IF($B$5="",0,$M$5*MAX(0,MIN(1,$H$5-$A27+1)))</x:f>
        <x:v>0</x:v>
      </x:c>
      <x:c r="C27" s="66" t="n">
        <x:f>IF($B$6="",0,$M$6*MAX(0,MIN(1,$H$6-$A27+1)))</x:f>
        <x:v>0</x:v>
      </x:c>
      <x:c r="D27" s="66" t="n">
        <x:f>IF($B$7="",0,$M$7*MAX(0,MIN(1,$H$7-$A27+1)))</x:f>
        <x:v>0</x:v>
      </x:c>
      <x:c r="E27" s="66" t="n">
        <x:f>IF($B$8="",0,$M$8*MAX(0,MIN(1,$H$8-$A27+1)))</x:f>
        <x:v>0</x:v>
      </x:c>
      <x:c r="F27" s="66" t="n">
        <x:f>IF($B$9="",0,$M$9*MAX(0,MIN(1,$H$9-$A27+1)))</x:f>
        <x:v>0</x:v>
      </x:c>
      <x:c r="G27" s="66" t="n">
        <x:f>IF($B$10="",0,$M$10*MAX(0,MIN(1,$H$10-$A27+1)))</x:f>
        <x:v>0</x:v>
      </x:c>
      <x:c r="H27" s="66" t="n">
        <x:f>IF($B$11="",0,$M$11*MAX(0,MIN(1,$H$11-$A27+1)))</x:f>
        <x:v>0</x:v>
      </x:c>
      <x:c r="I27" s="66" t="n">
        <x:f>IF($B$12="",0,$M$12*MAX(0,MIN(1,$H$12-$A27+1)))</x:f>
        <x:v>0</x:v>
      </x:c>
      <x:c r="J27" s="66" t="n">
        <x:f>IF($B$13="",0,$M$13*MAX(0,MIN(1,$H$13-$A27+1)))</x:f>
        <x:v>0</x:v>
      </x:c>
      <x:c r="K27" s="66" t="n">
        <x:f>IF($B$14="",0,$M$14*MAX(0,MIN(1,$H$14-$A27+1)))</x:f>
        <x:v>0</x:v>
      </x:c>
      <x:c r="L27" s="66" t="n">
        <x:f>SUM(B27:K27)</x:f>
        <x:v>0</x:v>
      </x:c>
      <x:c r="M27" s="71" t="n">
        <x:f>MAX(MAX(0,MIN(1,$H$5-$A27+1)),MAX(0,MIN(1,$H$6-$A27+1)),MAX(0,MIN(1,$H$7-$A27+1)),MAX(0,MIN(1,$H$8-$A27+1)),MAX(0,MIN(1,$H$9-$A27+1)),MAX(0,MIN(1,$H$10-$A27+1)),MAX(0,MIN(1,$H$11-$A27+1)),MAX(0,MIN(1,$H$12-$A27+1)),MAX(0,MIN(1,$H$13-$A27+1)),MAX(0,MIN(1,$H$14-$A27+1)))</x:f>
        <x:v>0</x:v>
      </x:c>
      <x:c r="N27" s="66" t="n">
        <x:f>IF('07_法源参数'!C13="",0,'07_法源参数'!C13*M27)</x:f>
        <x:v>0</x:v>
      </x:c>
      <x:c r="O27" s="66" t="n">
        <x:f>MIN(L27,N27)</x:f>
        <x:v>0</x:v>
      </x:c>
    </x:row>
    <x:row r="28">
      <x:c r="A28" s="54" t="n">
        <x:v>11</x:v>
      </x:c>
      <x:c r="B28" s="66" t="n">
        <x:f>IF($B$5="",0,$M$5*MAX(0,MIN(1,$H$5-$A28+1)))</x:f>
        <x:v>0</x:v>
      </x:c>
      <x:c r="C28" s="66" t="n">
        <x:f>IF($B$6="",0,$M$6*MAX(0,MIN(1,$H$6-$A28+1)))</x:f>
        <x:v>0</x:v>
      </x:c>
      <x:c r="D28" s="66" t="n">
        <x:f>IF($B$7="",0,$M$7*MAX(0,MIN(1,$H$7-$A28+1)))</x:f>
        <x:v>0</x:v>
      </x:c>
      <x:c r="E28" s="66" t="n">
        <x:f>IF($B$8="",0,$M$8*MAX(0,MIN(1,$H$8-$A28+1)))</x:f>
        <x:v>0</x:v>
      </x:c>
      <x:c r="F28" s="66" t="n">
        <x:f>IF($B$9="",0,$M$9*MAX(0,MIN(1,$H$9-$A28+1)))</x:f>
        <x:v>0</x:v>
      </x:c>
      <x:c r="G28" s="66" t="n">
        <x:f>IF($B$10="",0,$M$10*MAX(0,MIN(1,$H$10-$A28+1)))</x:f>
        <x:v>0</x:v>
      </x:c>
      <x:c r="H28" s="66" t="n">
        <x:f>IF($B$11="",0,$M$11*MAX(0,MIN(1,$H$11-$A28+1)))</x:f>
        <x:v>0</x:v>
      </x:c>
      <x:c r="I28" s="66" t="n">
        <x:f>IF($B$12="",0,$M$12*MAX(0,MIN(1,$H$12-$A28+1)))</x:f>
        <x:v>0</x:v>
      </x:c>
      <x:c r="J28" s="66" t="n">
        <x:f>IF($B$13="",0,$M$13*MAX(0,MIN(1,$H$13-$A28+1)))</x:f>
        <x:v>0</x:v>
      </x:c>
      <x:c r="K28" s="66" t="n">
        <x:f>IF($B$14="",0,$M$14*MAX(0,MIN(1,$H$14-$A28+1)))</x:f>
        <x:v>0</x:v>
      </x:c>
      <x:c r="L28" s="66" t="n">
        <x:f>SUM(B28:K28)</x:f>
        <x:v>0</x:v>
      </x:c>
      <x:c r="M28" s="71" t="n">
        <x:f>MAX(MAX(0,MIN(1,$H$5-$A28+1)),MAX(0,MIN(1,$H$6-$A28+1)),MAX(0,MIN(1,$H$7-$A28+1)),MAX(0,MIN(1,$H$8-$A28+1)),MAX(0,MIN(1,$H$9-$A28+1)),MAX(0,MIN(1,$H$10-$A28+1)),MAX(0,MIN(1,$H$11-$A28+1)),MAX(0,MIN(1,$H$12-$A28+1)),MAX(0,MIN(1,$H$13-$A28+1)),MAX(0,MIN(1,$H$14-$A28+1)))</x:f>
        <x:v>0</x:v>
      </x:c>
      <x:c r="N28" s="66" t="n">
        <x:f>IF('07_法源参数'!C13="",0,'07_法源参数'!C13*M28)</x:f>
        <x:v>0</x:v>
      </x:c>
      <x:c r="O28" s="66" t="n">
        <x:f>MIN(L28,N28)</x:f>
        <x:v>0</x:v>
      </x:c>
    </x:row>
    <x:row r="29">
      <x:c r="A29" s="54" t="n">
        <x:v>12</x:v>
      </x:c>
      <x:c r="B29" s="66" t="n">
        <x:f>IF($B$5="",0,$M$5*MAX(0,MIN(1,$H$5-$A29+1)))</x:f>
        <x:v>0</x:v>
      </x:c>
      <x:c r="C29" s="66" t="n">
        <x:f>IF($B$6="",0,$M$6*MAX(0,MIN(1,$H$6-$A29+1)))</x:f>
        <x:v>0</x:v>
      </x:c>
      <x:c r="D29" s="66" t="n">
        <x:f>IF($B$7="",0,$M$7*MAX(0,MIN(1,$H$7-$A29+1)))</x:f>
        <x:v>0</x:v>
      </x:c>
      <x:c r="E29" s="66" t="n">
        <x:f>IF($B$8="",0,$M$8*MAX(0,MIN(1,$H$8-$A29+1)))</x:f>
        <x:v>0</x:v>
      </x:c>
      <x:c r="F29" s="66" t="n">
        <x:f>IF($B$9="",0,$M$9*MAX(0,MIN(1,$H$9-$A29+1)))</x:f>
        <x:v>0</x:v>
      </x:c>
      <x:c r="G29" s="66" t="n">
        <x:f>IF($B$10="",0,$M$10*MAX(0,MIN(1,$H$10-$A29+1)))</x:f>
        <x:v>0</x:v>
      </x:c>
      <x:c r="H29" s="66" t="n">
        <x:f>IF($B$11="",0,$M$11*MAX(0,MIN(1,$H$11-$A29+1)))</x:f>
        <x:v>0</x:v>
      </x:c>
      <x:c r="I29" s="66" t="n">
        <x:f>IF($B$12="",0,$M$12*MAX(0,MIN(1,$H$12-$A29+1)))</x:f>
        <x:v>0</x:v>
      </x:c>
      <x:c r="J29" s="66" t="n">
        <x:f>IF($B$13="",0,$M$13*MAX(0,MIN(1,$H$13-$A29+1)))</x:f>
        <x:v>0</x:v>
      </x:c>
      <x:c r="K29" s="66" t="n">
        <x:f>IF($B$14="",0,$M$14*MAX(0,MIN(1,$H$14-$A29+1)))</x:f>
        <x:v>0</x:v>
      </x:c>
      <x:c r="L29" s="66" t="n">
        <x:f>SUM(B29:K29)</x:f>
        <x:v>0</x:v>
      </x:c>
      <x:c r="M29" s="71" t="n">
        <x:f>MAX(MAX(0,MIN(1,$H$5-$A29+1)),MAX(0,MIN(1,$H$6-$A29+1)),MAX(0,MIN(1,$H$7-$A29+1)),MAX(0,MIN(1,$H$8-$A29+1)),MAX(0,MIN(1,$H$9-$A29+1)),MAX(0,MIN(1,$H$10-$A29+1)),MAX(0,MIN(1,$H$11-$A29+1)),MAX(0,MIN(1,$H$12-$A29+1)),MAX(0,MIN(1,$H$13-$A29+1)),MAX(0,MIN(1,$H$14-$A29+1)))</x:f>
        <x:v>0</x:v>
      </x:c>
      <x:c r="N29" s="66" t="n">
        <x:f>IF('07_法源参数'!C13="",0,'07_法源参数'!C13*M29)</x:f>
        <x:v>0</x:v>
      </x:c>
      <x:c r="O29" s="66" t="n">
        <x:f>MIN(L29,N29)</x:f>
        <x:v>0</x:v>
      </x:c>
    </x:row>
    <x:row r="30">
      <x:c r="A30" s="54" t="n">
        <x:v>13</x:v>
      </x:c>
      <x:c r="B30" s="66" t="n">
        <x:f>IF($B$5="",0,$M$5*MAX(0,MIN(1,$H$5-$A30+1)))</x:f>
        <x:v>0</x:v>
      </x:c>
      <x:c r="C30" s="66" t="n">
        <x:f>IF($B$6="",0,$M$6*MAX(0,MIN(1,$H$6-$A30+1)))</x:f>
        <x:v>0</x:v>
      </x:c>
      <x:c r="D30" s="66" t="n">
        <x:f>IF($B$7="",0,$M$7*MAX(0,MIN(1,$H$7-$A30+1)))</x:f>
        <x:v>0</x:v>
      </x:c>
      <x:c r="E30" s="66" t="n">
        <x:f>IF($B$8="",0,$M$8*MAX(0,MIN(1,$H$8-$A30+1)))</x:f>
        <x:v>0</x:v>
      </x:c>
      <x:c r="F30" s="66" t="n">
        <x:f>IF($B$9="",0,$M$9*MAX(0,MIN(1,$H$9-$A30+1)))</x:f>
        <x:v>0</x:v>
      </x:c>
      <x:c r="G30" s="66" t="n">
        <x:f>IF($B$10="",0,$M$10*MAX(0,MIN(1,$H$10-$A30+1)))</x:f>
        <x:v>0</x:v>
      </x:c>
      <x:c r="H30" s="66" t="n">
        <x:f>IF($B$11="",0,$M$11*MAX(0,MIN(1,$H$11-$A30+1)))</x:f>
        <x:v>0</x:v>
      </x:c>
      <x:c r="I30" s="66" t="n">
        <x:f>IF($B$12="",0,$M$12*MAX(0,MIN(1,$H$12-$A30+1)))</x:f>
        <x:v>0</x:v>
      </x:c>
      <x:c r="J30" s="66" t="n">
        <x:f>IF($B$13="",0,$M$13*MAX(0,MIN(1,$H$13-$A30+1)))</x:f>
        <x:v>0</x:v>
      </x:c>
      <x:c r="K30" s="66" t="n">
        <x:f>IF($B$14="",0,$M$14*MAX(0,MIN(1,$H$14-$A30+1)))</x:f>
        <x:v>0</x:v>
      </x:c>
      <x:c r="L30" s="66" t="n">
        <x:f>SUM(B30:K30)</x:f>
        <x:v>0</x:v>
      </x:c>
      <x:c r="M30" s="71" t="n">
        <x:f>MAX(MAX(0,MIN(1,$H$5-$A30+1)),MAX(0,MIN(1,$H$6-$A30+1)),MAX(0,MIN(1,$H$7-$A30+1)),MAX(0,MIN(1,$H$8-$A30+1)),MAX(0,MIN(1,$H$9-$A30+1)),MAX(0,MIN(1,$H$10-$A30+1)),MAX(0,MIN(1,$H$11-$A30+1)),MAX(0,MIN(1,$H$12-$A30+1)),MAX(0,MIN(1,$H$13-$A30+1)),MAX(0,MIN(1,$H$14-$A30+1)))</x:f>
        <x:v>0</x:v>
      </x:c>
      <x:c r="N30" s="66" t="n">
        <x:f>IF('07_法源参数'!C13="",0,'07_法源参数'!C13*M30)</x:f>
        <x:v>0</x:v>
      </x:c>
      <x:c r="O30" s="66" t="n">
        <x:f>MIN(L30,N30)</x:f>
        <x:v>0</x:v>
      </x:c>
    </x:row>
    <x:row r="31">
      <x:c r="A31" s="54" t="n">
        <x:v>14</x:v>
      </x:c>
      <x:c r="B31" s="66" t="n">
        <x:f>IF($B$5="",0,$M$5*MAX(0,MIN(1,$H$5-$A31+1)))</x:f>
        <x:v>0</x:v>
      </x:c>
      <x:c r="C31" s="66" t="n">
        <x:f>IF($B$6="",0,$M$6*MAX(0,MIN(1,$H$6-$A31+1)))</x:f>
        <x:v>0</x:v>
      </x:c>
      <x:c r="D31" s="66" t="n">
        <x:f>IF($B$7="",0,$M$7*MAX(0,MIN(1,$H$7-$A31+1)))</x:f>
        <x:v>0</x:v>
      </x:c>
      <x:c r="E31" s="66" t="n">
        <x:f>IF($B$8="",0,$M$8*MAX(0,MIN(1,$H$8-$A31+1)))</x:f>
        <x:v>0</x:v>
      </x:c>
      <x:c r="F31" s="66" t="n">
        <x:f>IF($B$9="",0,$M$9*MAX(0,MIN(1,$H$9-$A31+1)))</x:f>
        <x:v>0</x:v>
      </x:c>
      <x:c r="G31" s="66" t="n">
        <x:f>IF($B$10="",0,$M$10*MAX(0,MIN(1,$H$10-$A31+1)))</x:f>
        <x:v>0</x:v>
      </x:c>
      <x:c r="H31" s="66" t="n">
        <x:f>IF($B$11="",0,$M$11*MAX(0,MIN(1,$H$11-$A31+1)))</x:f>
        <x:v>0</x:v>
      </x:c>
      <x:c r="I31" s="66" t="n">
        <x:f>IF($B$12="",0,$M$12*MAX(0,MIN(1,$H$12-$A31+1)))</x:f>
        <x:v>0</x:v>
      </x:c>
      <x:c r="J31" s="66" t="n">
        <x:f>IF($B$13="",0,$M$13*MAX(0,MIN(1,$H$13-$A31+1)))</x:f>
        <x:v>0</x:v>
      </x:c>
      <x:c r="K31" s="66" t="n">
        <x:f>IF($B$14="",0,$M$14*MAX(0,MIN(1,$H$14-$A31+1)))</x:f>
        <x:v>0</x:v>
      </x:c>
      <x:c r="L31" s="66" t="n">
        <x:f>SUM(B31:K31)</x:f>
        <x:v>0</x:v>
      </x:c>
      <x:c r="M31" s="71" t="n">
        <x:f>MAX(MAX(0,MIN(1,$H$5-$A31+1)),MAX(0,MIN(1,$H$6-$A31+1)),MAX(0,MIN(1,$H$7-$A31+1)),MAX(0,MIN(1,$H$8-$A31+1)),MAX(0,MIN(1,$H$9-$A31+1)),MAX(0,MIN(1,$H$10-$A31+1)),MAX(0,MIN(1,$H$11-$A31+1)),MAX(0,MIN(1,$H$12-$A31+1)),MAX(0,MIN(1,$H$13-$A31+1)),MAX(0,MIN(1,$H$14-$A31+1)))</x:f>
        <x:v>0</x:v>
      </x:c>
      <x:c r="N31" s="66" t="n">
        <x:f>IF('07_法源参数'!C13="",0,'07_法源参数'!C13*M31)</x:f>
        <x:v>0</x:v>
      </x:c>
      <x:c r="O31" s="66" t="n">
        <x:f>MIN(L31,N31)</x:f>
        <x:v>0</x:v>
      </x:c>
    </x:row>
    <x:row r="32">
      <x:c r="A32" s="54" t="n">
        <x:v>15</x:v>
      </x:c>
      <x:c r="B32" s="66" t="n">
        <x:f>IF($B$5="",0,$M$5*MAX(0,MIN(1,$H$5-$A32+1)))</x:f>
        <x:v>0</x:v>
      </x:c>
      <x:c r="C32" s="66" t="n">
        <x:f>IF($B$6="",0,$M$6*MAX(0,MIN(1,$H$6-$A32+1)))</x:f>
        <x:v>0</x:v>
      </x:c>
      <x:c r="D32" s="66" t="n">
        <x:f>IF($B$7="",0,$M$7*MAX(0,MIN(1,$H$7-$A32+1)))</x:f>
        <x:v>0</x:v>
      </x:c>
      <x:c r="E32" s="66" t="n">
        <x:f>IF($B$8="",0,$M$8*MAX(0,MIN(1,$H$8-$A32+1)))</x:f>
        <x:v>0</x:v>
      </x:c>
      <x:c r="F32" s="66" t="n">
        <x:f>IF($B$9="",0,$M$9*MAX(0,MIN(1,$H$9-$A32+1)))</x:f>
        <x:v>0</x:v>
      </x:c>
      <x:c r="G32" s="66" t="n">
        <x:f>IF($B$10="",0,$M$10*MAX(0,MIN(1,$H$10-$A32+1)))</x:f>
        <x:v>0</x:v>
      </x:c>
      <x:c r="H32" s="66" t="n">
        <x:f>IF($B$11="",0,$M$11*MAX(0,MIN(1,$H$11-$A32+1)))</x:f>
        <x:v>0</x:v>
      </x:c>
      <x:c r="I32" s="66" t="n">
        <x:f>IF($B$12="",0,$M$12*MAX(0,MIN(1,$H$12-$A32+1)))</x:f>
        <x:v>0</x:v>
      </x:c>
      <x:c r="J32" s="66" t="n">
        <x:f>IF($B$13="",0,$M$13*MAX(0,MIN(1,$H$13-$A32+1)))</x:f>
        <x:v>0</x:v>
      </x:c>
      <x:c r="K32" s="66" t="n">
        <x:f>IF($B$14="",0,$M$14*MAX(0,MIN(1,$H$14-$A32+1)))</x:f>
        <x:v>0</x:v>
      </x:c>
      <x:c r="L32" s="66" t="n">
        <x:f>SUM(B32:K32)</x:f>
        <x:v>0</x:v>
      </x:c>
      <x:c r="M32" s="71" t="n">
        <x:f>MAX(MAX(0,MIN(1,$H$5-$A32+1)),MAX(0,MIN(1,$H$6-$A32+1)),MAX(0,MIN(1,$H$7-$A32+1)),MAX(0,MIN(1,$H$8-$A32+1)),MAX(0,MIN(1,$H$9-$A32+1)),MAX(0,MIN(1,$H$10-$A32+1)),MAX(0,MIN(1,$H$11-$A32+1)),MAX(0,MIN(1,$H$12-$A32+1)),MAX(0,MIN(1,$H$13-$A32+1)),MAX(0,MIN(1,$H$14-$A32+1)))</x:f>
        <x:v>0</x:v>
      </x:c>
      <x:c r="N32" s="66" t="n">
        <x:f>IF('07_法源参数'!C13="",0,'07_法源参数'!C13*M32)</x:f>
        <x:v>0</x:v>
      </x:c>
      <x:c r="O32" s="66" t="n">
        <x:f>MIN(L32,N32)</x:f>
        <x:v>0</x:v>
      </x:c>
    </x:row>
    <x:row r="33">
      <x:c r="A33" s="54" t="n">
        <x:v>16</x:v>
      </x:c>
      <x:c r="B33" s="66" t="n">
        <x:f>IF($B$5="",0,$M$5*MAX(0,MIN(1,$H$5-$A33+1)))</x:f>
        <x:v>0</x:v>
      </x:c>
      <x:c r="C33" s="66" t="n">
        <x:f>IF($B$6="",0,$M$6*MAX(0,MIN(1,$H$6-$A33+1)))</x:f>
        <x:v>0</x:v>
      </x:c>
      <x:c r="D33" s="66" t="n">
        <x:f>IF($B$7="",0,$M$7*MAX(0,MIN(1,$H$7-$A33+1)))</x:f>
        <x:v>0</x:v>
      </x:c>
      <x:c r="E33" s="66" t="n">
        <x:f>IF($B$8="",0,$M$8*MAX(0,MIN(1,$H$8-$A33+1)))</x:f>
        <x:v>0</x:v>
      </x:c>
      <x:c r="F33" s="66" t="n">
        <x:f>IF($B$9="",0,$M$9*MAX(0,MIN(1,$H$9-$A33+1)))</x:f>
        <x:v>0</x:v>
      </x:c>
      <x:c r="G33" s="66" t="n">
        <x:f>IF($B$10="",0,$M$10*MAX(0,MIN(1,$H$10-$A33+1)))</x:f>
        <x:v>0</x:v>
      </x:c>
      <x:c r="H33" s="66" t="n">
        <x:f>IF($B$11="",0,$M$11*MAX(0,MIN(1,$H$11-$A33+1)))</x:f>
        <x:v>0</x:v>
      </x:c>
      <x:c r="I33" s="66" t="n">
        <x:f>IF($B$12="",0,$M$12*MAX(0,MIN(1,$H$12-$A33+1)))</x:f>
        <x:v>0</x:v>
      </x:c>
      <x:c r="J33" s="66" t="n">
        <x:f>IF($B$13="",0,$M$13*MAX(0,MIN(1,$H$13-$A33+1)))</x:f>
        <x:v>0</x:v>
      </x:c>
      <x:c r="K33" s="66" t="n">
        <x:f>IF($B$14="",0,$M$14*MAX(0,MIN(1,$H$14-$A33+1)))</x:f>
        <x:v>0</x:v>
      </x:c>
      <x:c r="L33" s="66" t="n">
        <x:f>SUM(B33:K33)</x:f>
        <x:v>0</x:v>
      </x:c>
      <x:c r="M33" s="71" t="n">
        <x:f>MAX(MAX(0,MIN(1,$H$5-$A33+1)),MAX(0,MIN(1,$H$6-$A33+1)),MAX(0,MIN(1,$H$7-$A33+1)),MAX(0,MIN(1,$H$8-$A33+1)),MAX(0,MIN(1,$H$9-$A33+1)),MAX(0,MIN(1,$H$10-$A33+1)),MAX(0,MIN(1,$H$11-$A33+1)),MAX(0,MIN(1,$H$12-$A33+1)),MAX(0,MIN(1,$H$13-$A33+1)),MAX(0,MIN(1,$H$14-$A33+1)))</x:f>
        <x:v>0</x:v>
      </x:c>
      <x:c r="N33" s="66" t="n">
        <x:f>IF('07_法源参数'!C13="",0,'07_法源参数'!C13*M33)</x:f>
        <x:v>0</x:v>
      </x:c>
      <x:c r="O33" s="66" t="n">
        <x:f>MIN(L33,N33)</x:f>
        <x:v>0</x:v>
      </x:c>
    </x:row>
    <x:row r="34">
      <x:c r="A34" s="54" t="n">
        <x:v>17</x:v>
      </x:c>
      <x:c r="B34" s="66" t="n">
        <x:f>IF($B$5="",0,$M$5*MAX(0,MIN(1,$H$5-$A34+1)))</x:f>
        <x:v>0</x:v>
      </x:c>
      <x:c r="C34" s="66" t="n">
        <x:f>IF($B$6="",0,$M$6*MAX(0,MIN(1,$H$6-$A34+1)))</x:f>
        <x:v>0</x:v>
      </x:c>
      <x:c r="D34" s="66" t="n">
        <x:f>IF($B$7="",0,$M$7*MAX(0,MIN(1,$H$7-$A34+1)))</x:f>
        <x:v>0</x:v>
      </x:c>
      <x:c r="E34" s="66" t="n">
        <x:f>IF($B$8="",0,$M$8*MAX(0,MIN(1,$H$8-$A34+1)))</x:f>
        <x:v>0</x:v>
      </x:c>
      <x:c r="F34" s="66" t="n">
        <x:f>IF($B$9="",0,$M$9*MAX(0,MIN(1,$H$9-$A34+1)))</x:f>
        <x:v>0</x:v>
      </x:c>
      <x:c r="G34" s="66" t="n">
        <x:f>IF($B$10="",0,$M$10*MAX(0,MIN(1,$H$10-$A34+1)))</x:f>
        <x:v>0</x:v>
      </x:c>
      <x:c r="H34" s="66" t="n">
        <x:f>IF($B$11="",0,$M$11*MAX(0,MIN(1,$H$11-$A34+1)))</x:f>
        <x:v>0</x:v>
      </x:c>
      <x:c r="I34" s="66" t="n">
        <x:f>IF($B$12="",0,$M$12*MAX(0,MIN(1,$H$12-$A34+1)))</x:f>
        <x:v>0</x:v>
      </x:c>
      <x:c r="J34" s="66" t="n">
        <x:f>IF($B$13="",0,$M$13*MAX(0,MIN(1,$H$13-$A34+1)))</x:f>
        <x:v>0</x:v>
      </x:c>
      <x:c r="K34" s="66" t="n">
        <x:f>IF($B$14="",0,$M$14*MAX(0,MIN(1,$H$14-$A34+1)))</x:f>
        <x:v>0</x:v>
      </x:c>
      <x:c r="L34" s="66" t="n">
        <x:f>SUM(B34:K34)</x:f>
        <x:v>0</x:v>
      </x:c>
      <x:c r="M34" s="71" t="n">
        <x:f>MAX(MAX(0,MIN(1,$H$5-$A34+1)),MAX(0,MIN(1,$H$6-$A34+1)),MAX(0,MIN(1,$H$7-$A34+1)),MAX(0,MIN(1,$H$8-$A34+1)),MAX(0,MIN(1,$H$9-$A34+1)),MAX(0,MIN(1,$H$10-$A34+1)),MAX(0,MIN(1,$H$11-$A34+1)),MAX(0,MIN(1,$H$12-$A34+1)),MAX(0,MIN(1,$H$13-$A34+1)),MAX(0,MIN(1,$H$14-$A34+1)))</x:f>
        <x:v>0</x:v>
      </x:c>
      <x:c r="N34" s="66" t="n">
        <x:f>IF('07_法源参数'!C13="",0,'07_法源参数'!C13*M34)</x:f>
        <x:v>0</x:v>
      </x:c>
      <x:c r="O34" s="66" t="n">
        <x:f>MIN(L34,N34)</x:f>
        <x:v>0</x:v>
      </x:c>
    </x:row>
    <x:row r="35">
      <x:c r="A35" s="54" t="n">
        <x:v>18</x:v>
      </x:c>
      <x:c r="B35" s="66" t="n">
        <x:f>IF($B$5="",0,$M$5*MAX(0,MIN(1,$H$5-$A35+1)))</x:f>
        <x:v>0</x:v>
      </x:c>
      <x:c r="C35" s="66" t="n">
        <x:f>IF($B$6="",0,$M$6*MAX(0,MIN(1,$H$6-$A35+1)))</x:f>
        <x:v>0</x:v>
      </x:c>
      <x:c r="D35" s="66" t="n">
        <x:f>IF($B$7="",0,$M$7*MAX(0,MIN(1,$H$7-$A35+1)))</x:f>
        <x:v>0</x:v>
      </x:c>
      <x:c r="E35" s="66" t="n">
        <x:f>IF($B$8="",0,$M$8*MAX(0,MIN(1,$H$8-$A35+1)))</x:f>
        <x:v>0</x:v>
      </x:c>
      <x:c r="F35" s="66" t="n">
        <x:f>IF($B$9="",0,$M$9*MAX(0,MIN(1,$H$9-$A35+1)))</x:f>
        <x:v>0</x:v>
      </x:c>
      <x:c r="G35" s="66" t="n">
        <x:f>IF($B$10="",0,$M$10*MAX(0,MIN(1,$H$10-$A35+1)))</x:f>
        <x:v>0</x:v>
      </x:c>
      <x:c r="H35" s="66" t="n">
        <x:f>IF($B$11="",0,$M$11*MAX(0,MIN(1,$H$11-$A35+1)))</x:f>
        <x:v>0</x:v>
      </x:c>
      <x:c r="I35" s="66" t="n">
        <x:f>IF($B$12="",0,$M$12*MAX(0,MIN(1,$H$12-$A35+1)))</x:f>
        <x:v>0</x:v>
      </x:c>
      <x:c r="J35" s="66" t="n">
        <x:f>IF($B$13="",0,$M$13*MAX(0,MIN(1,$H$13-$A35+1)))</x:f>
        <x:v>0</x:v>
      </x:c>
      <x:c r="K35" s="66" t="n">
        <x:f>IF($B$14="",0,$M$14*MAX(0,MIN(1,$H$14-$A35+1)))</x:f>
        <x:v>0</x:v>
      </x:c>
      <x:c r="L35" s="66" t="n">
        <x:f>SUM(B35:K35)</x:f>
        <x:v>0</x:v>
      </x:c>
      <x:c r="M35" s="71" t="n">
        <x:f>MAX(MAX(0,MIN(1,$H$5-$A35+1)),MAX(0,MIN(1,$H$6-$A35+1)),MAX(0,MIN(1,$H$7-$A35+1)),MAX(0,MIN(1,$H$8-$A35+1)),MAX(0,MIN(1,$H$9-$A35+1)),MAX(0,MIN(1,$H$10-$A35+1)),MAX(0,MIN(1,$H$11-$A35+1)),MAX(0,MIN(1,$H$12-$A35+1)),MAX(0,MIN(1,$H$13-$A35+1)),MAX(0,MIN(1,$H$14-$A35+1)))</x:f>
        <x:v>0</x:v>
      </x:c>
      <x:c r="N35" s="66" t="n">
        <x:f>IF('07_法源参数'!C13="",0,'07_法源参数'!C13*M35)</x:f>
        <x:v>0</x:v>
      </x:c>
      <x:c r="O35" s="66" t="n">
        <x:f>MIN(L35,N35)</x:f>
        <x:v>0</x:v>
      </x:c>
    </x:row>
    <x:row r="36">
      <x:c r="A36" s="54" t="n">
        <x:v>19</x:v>
      </x:c>
      <x:c r="B36" s="66" t="n">
        <x:f>IF($B$5="",0,$M$5*MAX(0,MIN(1,$H$5-$A36+1)))</x:f>
        <x:v>0</x:v>
      </x:c>
      <x:c r="C36" s="66" t="n">
        <x:f>IF($B$6="",0,$M$6*MAX(0,MIN(1,$H$6-$A36+1)))</x:f>
        <x:v>0</x:v>
      </x:c>
      <x:c r="D36" s="66" t="n">
        <x:f>IF($B$7="",0,$M$7*MAX(0,MIN(1,$H$7-$A36+1)))</x:f>
        <x:v>0</x:v>
      </x:c>
      <x:c r="E36" s="66" t="n">
        <x:f>IF($B$8="",0,$M$8*MAX(0,MIN(1,$H$8-$A36+1)))</x:f>
        <x:v>0</x:v>
      </x:c>
      <x:c r="F36" s="66" t="n">
        <x:f>IF($B$9="",0,$M$9*MAX(0,MIN(1,$H$9-$A36+1)))</x:f>
        <x:v>0</x:v>
      </x:c>
      <x:c r="G36" s="66" t="n">
        <x:f>IF($B$10="",0,$M$10*MAX(0,MIN(1,$H$10-$A36+1)))</x:f>
        <x:v>0</x:v>
      </x:c>
      <x:c r="H36" s="66" t="n">
        <x:f>IF($B$11="",0,$M$11*MAX(0,MIN(1,$H$11-$A36+1)))</x:f>
        <x:v>0</x:v>
      </x:c>
      <x:c r="I36" s="66" t="n">
        <x:f>IF($B$12="",0,$M$12*MAX(0,MIN(1,$H$12-$A36+1)))</x:f>
        <x:v>0</x:v>
      </x:c>
      <x:c r="J36" s="66" t="n">
        <x:f>IF($B$13="",0,$M$13*MAX(0,MIN(1,$H$13-$A36+1)))</x:f>
        <x:v>0</x:v>
      </x:c>
      <x:c r="K36" s="66" t="n">
        <x:f>IF($B$14="",0,$M$14*MAX(0,MIN(1,$H$14-$A36+1)))</x:f>
        <x:v>0</x:v>
      </x:c>
      <x:c r="L36" s="66" t="n">
        <x:f>SUM(B36:K36)</x:f>
        <x:v>0</x:v>
      </x:c>
      <x:c r="M36" s="71" t="n">
        <x:f>MAX(MAX(0,MIN(1,$H$5-$A36+1)),MAX(0,MIN(1,$H$6-$A36+1)),MAX(0,MIN(1,$H$7-$A36+1)),MAX(0,MIN(1,$H$8-$A36+1)),MAX(0,MIN(1,$H$9-$A36+1)),MAX(0,MIN(1,$H$10-$A36+1)),MAX(0,MIN(1,$H$11-$A36+1)),MAX(0,MIN(1,$H$12-$A36+1)),MAX(0,MIN(1,$H$13-$A36+1)),MAX(0,MIN(1,$H$14-$A36+1)))</x:f>
        <x:v>0</x:v>
      </x:c>
      <x:c r="N36" s="66" t="n">
        <x:f>IF('07_法源参数'!C13="",0,'07_法源参数'!C13*M36)</x:f>
        <x:v>0</x:v>
      </x:c>
      <x:c r="O36" s="66" t="n">
        <x:f>MIN(L36,N36)</x:f>
        <x:v>0</x:v>
      </x:c>
    </x:row>
    <x:row r="37">
      <x:c r="A37" s="54" t="n">
        <x:v>20</x:v>
      </x:c>
      <x:c r="B37" s="66" t="n">
        <x:f>IF($B$5="",0,$M$5*MAX(0,MIN(1,$H$5-$A37+1)))</x:f>
        <x:v>0</x:v>
      </x:c>
      <x:c r="C37" s="66" t="n">
        <x:f>IF($B$6="",0,$M$6*MAX(0,MIN(1,$H$6-$A37+1)))</x:f>
        <x:v>0</x:v>
      </x:c>
      <x:c r="D37" s="66" t="n">
        <x:f>IF($B$7="",0,$M$7*MAX(0,MIN(1,$H$7-$A37+1)))</x:f>
        <x:v>0</x:v>
      </x:c>
      <x:c r="E37" s="66" t="n">
        <x:f>IF($B$8="",0,$M$8*MAX(0,MIN(1,$H$8-$A37+1)))</x:f>
        <x:v>0</x:v>
      </x:c>
      <x:c r="F37" s="66" t="n">
        <x:f>IF($B$9="",0,$M$9*MAX(0,MIN(1,$H$9-$A37+1)))</x:f>
        <x:v>0</x:v>
      </x:c>
      <x:c r="G37" s="66" t="n">
        <x:f>IF($B$10="",0,$M$10*MAX(0,MIN(1,$H$10-$A37+1)))</x:f>
        <x:v>0</x:v>
      </x:c>
      <x:c r="H37" s="66" t="n">
        <x:f>IF($B$11="",0,$M$11*MAX(0,MIN(1,$H$11-$A37+1)))</x:f>
        <x:v>0</x:v>
      </x:c>
      <x:c r="I37" s="66" t="n">
        <x:f>IF($B$12="",0,$M$12*MAX(0,MIN(1,$H$12-$A37+1)))</x:f>
        <x:v>0</x:v>
      </x:c>
      <x:c r="J37" s="66" t="n">
        <x:f>IF($B$13="",0,$M$13*MAX(0,MIN(1,$H$13-$A37+1)))</x:f>
        <x:v>0</x:v>
      </x:c>
      <x:c r="K37" s="66" t="n">
        <x:f>IF($B$14="",0,$M$14*MAX(0,MIN(1,$H$14-$A37+1)))</x:f>
        <x:v>0</x:v>
      </x:c>
      <x:c r="L37" s="66" t="n">
        <x:f>SUM(B37:K37)</x:f>
        <x:v>0</x:v>
      </x:c>
      <x:c r="M37" s="71" t="n">
        <x:f>MAX(MAX(0,MIN(1,$H$5-$A37+1)),MAX(0,MIN(1,$H$6-$A37+1)),MAX(0,MIN(1,$H$7-$A37+1)),MAX(0,MIN(1,$H$8-$A37+1)),MAX(0,MIN(1,$H$9-$A37+1)),MAX(0,MIN(1,$H$10-$A37+1)),MAX(0,MIN(1,$H$11-$A37+1)),MAX(0,MIN(1,$H$12-$A37+1)),MAX(0,MIN(1,$H$13-$A37+1)),MAX(0,MIN(1,$H$14-$A37+1)))</x:f>
        <x:v>0</x:v>
      </x:c>
      <x:c r="N37" s="66" t="n">
        <x:f>IF('07_法源参数'!C13="",0,'07_法源参数'!C13*M37)</x:f>
        <x:v>0</x:v>
      </x:c>
      <x:c r="O37" s="66" t="n">
        <x:f>MIN(L37,N37)</x:f>
        <x:v>0</x:v>
      </x:c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9" t="str">
        <x:v>公式结果</x:v>
      </x:c>
      <x:c r="M39" s="59" t="str">
        <x:v>被扶养人生活费认可合计</x:v>
      </x:c>
      <x:c r="N39" s="59" t="str">
        <x:v>计入残疾/死亡赔偿金一次</x:v>
      </x:c>
      <x:c r="O39" s="69" t="n">
        <x:f>SUM(O18:O37)</x:f>
        <x:v>0</x:v>
      </x:c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60" t="str">
        <x:v>报警</x:v>
      </x:c>
      <x:c r="M41" s="60" t="str">
        <x:v>扶养义务人数</x:v>
      </x:c>
      <x:c r="N41" s="60" t="str">
        <x:v>录入姓名但人数为0时阻断</x:v>
      </x:c>
      <x:c r="O41" s="60" t="str">
        <x:f>IF(COUNTIFS(B5:B14,"?*",I5:I14,0)&gt;0,"BLOCK：扶养义务人数含0","OK")</x:f>
        <x:v>OK</x:v>
      </x:c>
    </x:row>
  </x:sheetData>
  <x:mergeCells>
    <x:mergeCell ref="A1:O1"/>
    <x:mergeCell ref="A2:O2"/>
  </x:mergeCells>
  <x:dataValidations count="1">
    <x:dataValidation type="list" sqref="D5:D14">
      <x:formula1>"未成年,成年,其他"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4" hidden="0" customWidth="1"/>
    <x:col min="4" max="4" width="48" hidden="0" customWidth="1"/>
  </x:cols>
  <x:sheetData>
    <x:row r="1" ht="30" customHeight="1">
      <x:c r="A1" s="50" t="str">
        <x:v>交强险、商业险与侵权责任分层</x:v>
      </x:c>
      <x:c r="B1" s="50"/>
      <x:c r="C1" s="50"/>
      <x:c r="D1" s="50"/>
    </x:row>
    <x:row r="2" ht="32" customHeight="1">
      <x:c r="A2" s="51" t="str">
        <x:v>基线为单名权利人、单一主要责任车辆。交强险先赔通常不乘民事责任比例；多车或多人须扩展矩阵。</x:v>
      </x:c>
      <x:c r="B2" s="51"/>
      <x:c r="C2" s="51"/>
      <x:c r="D2" s="51"/>
    </x:row>
    <x:row r="3">
      <x:c r="A3" s="52"/>
      <x:c r="B3" s="52"/>
      <x:c r="C3" s="52"/>
      <x:c r="D3" s="52"/>
    </x:row>
    <x:row r="4">
      <x:c r="A4" s="53" t="str">
        <x:v>层级/项目</x:v>
      </x:c>
      <x:c r="B4" s="53" t="str">
        <x:v>金额</x:v>
      </x:c>
      <x:c r="C4" s="53" t="str">
        <x:v>角色</x:v>
      </x:c>
      <x:c r="D4" s="53" t="str">
        <x:v>公式/说明</x:v>
      </x:c>
    </x:row>
    <x:row r="5">
      <x:c r="A5" s="54" t="str">
        <x:v>死亡伤残损失（不含精神）</x:v>
      </x:c>
      <x:c r="B5" s="66" t="n">
        <x:f>SUMIF('02_赔偿项目'!L5:L26,"死亡伤残",'02_赔偿项目'!K5:K26)-B6</x:f>
        <x:v>0</x:v>
      </x:c>
      <x:c r="C5" s="54" t="str">
        <x:v>公式</x:v>
      </x:c>
      <x:c r="D5" s="54" t="str">
        <x:v>按02表交强险分项汇总</x:v>
      </x:c>
    </x:row>
    <x:row r="6">
      <x:c r="A6" s="54" t="str">
        <x:v>精神损害损失</x:v>
      </x:c>
      <x:c r="B6" s="66" t="n">
        <x:f>SUMIF('02_赔偿项目'!C5:C26,"精神损害抚慰金",'02_赔偿项目'!K5:K26)</x:f>
        <x:v>0</x:v>
      </x:c>
      <x:c r="C6" s="54" t="str">
        <x:v>公式</x:v>
      </x:c>
      <x:c r="D6" s="54" t="str">
        <x:v>是否优先见01表</x:v>
      </x:c>
    </x:row>
    <x:row r="7">
      <x:c r="A7" s="54" t="str">
        <x:v>医疗分项损失</x:v>
      </x:c>
      <x:c r="B7" s="66" t="n">
        <x:f>SUMIF('02_赔偿项目'!L5:L26,"医疗",'02_赔偿项目'!K5:K26)</x:f>
        <x:v>0</x:v>
      </x:c>
      <x:c r="C7" s="54" t="str">
        <x:v>公式</x:v>
      </x:c>
      <x:c r="D7" s="54" t="str">
        <x:v>按02表汇总</x:v>
      </x:c>
    </x:row>
    <x:row r="8">
      <x:c r="A8" s="54" t="str">
        <x:v>财产分项损失</x:v>
      </x:c>
      <x:c r="B8" s="66" t="n">
        <x:f>SUMIF('02_赔偿项目'!L5:L26,"财产",'02_赔偿项目'!K5:K26)</x:f>
        <x:v>0</x:v>
      </x:c>
      <x:c r="C8" s="54" t="str">
        <x:v>公式</x:v>
      </x:c>
      <x:c r="D8" s="54" t="str">
        <x:v>按02表汇总</x:v>
      </x:c>
    </x:row>
    <x:row r="9">
      <x:c r="A9" s="54" t="str">
        <x:v>人工判断/其他损失</x:v>
      </x:c>
      <x:c r="B9" s="66" t="n">
        <x:f>SUMIF('02_赔偿项目'!L5:L26,"人工判断",'02_赔偿项目'!K5:K26)</x:f>
        <x:v>0</x:v>
      </x:c>
      <x:c r="C9" s="54" t="str">
        <x:v>公式</x:v>
      </x:c>
      <x:c r="D9" s="54" t="str">
        <x:v>仍计入认可损失，但保险覆盖需人工确认</x:v>
      </x:c>
    </x:row>
    <x:row r="10">
      <x:c r="A10" s="54" t="str"/>
      <x:c r="B10" s="66" t="str"/>
      <x:c r="C10" s="54" t="str"/>
      <x:c r="D10" s="54" t="str"/>
    </x:row>
    <x:row r="11">
      <x:c r="A11" s="54" t="str">
        <x:v>死亡伤残采用限额</x:v>
      </x:c>
      <x:c r="B11" s="66" t="str">
        <x:f>'01_案件参数'!C26</x:f>
      </x:c>
      <x:c r="C11" s="54" t="str">
        <x:v>公式</x:v>
      </x:c>
      <x:c r="D11" s="54" t="str">
        <x:v>来自01表版本选择</x:v>
      </x:c>
    </x:row>
    <x:row r="12">
      <x:c r="A12" s="54" t="str">
        <x:v>医疗采用限额</x:v>
      </x:c>
      <x:c r="B12" s="66" t="str">
        <x:f>'01_案件参数'!C27</x:f>
      </x:c>
      <x:c r="C12" s="54" t="str">
        <x:v>公式</x:v>
      </x:c>
      <x:c r="D12" s="54" t="str">
        <x:v>来自01表版本选择</x:v>
      </x:c>
    </x:row>
    <x:row r="13">
      <x:c r="A13" s="54" t="str">
        <x:v>财产采用限额</x:v>
      </x:c>
      <x:c r="B13" s="66" t="str">
        <x:f>'01_案件参数'!C28</x:f>
      </x:c>
      <x:c r="C13" s="54" t="str">
        <x:v>公式</x:v>
      </x:c>
      <x:c r="D13" s="54" t="str">
        <x:v>来自01表版本选择</x:v>
      </x:c>
    </x:row>
    <x:row r="14">
      <x:c r="A14" s="54" t="str"/>
      <x:c r="B14" s="66" t="str"/>
      <x:c r="C14" s="54" t="str"/>
      <x:c r="D14" s="54" t="str"/>
    </x:row>
    <x:row r="15">
      <x:c r="A15" s="54" t="str">
        <x:v>精神损害交强险分配</x:v>
      </x:c>
      <x:c r="B15" s="66" t="n">
        <x:f>IF(B5+B6=0,0,IF('01_案件参数'!C30="是",MIN(B6,B11),ROUND(MIN(B5+B6,B11)*B6/(B5+B6),2)))</x:f>
        <x:v>0</x:v>
      </x:c>
      <x:c r="C15" s="54" t="str">
        <x:v>公式</x:v>
      </x:c>
      <x:c r="D15" s="54" t="str">
        <x:v>优先时先占限额；否则按比例分配</x:v>
      </x:c>
    </x:row>
    <x:row r="16">
      <x:c r="A16" s="54" t="str">
        <x:v>死亡伤残其他交强险分配</x:v>
      </x:c>
      <x:c r="B16" s="66" t="n">
        <x:f>MIN(B5+B6,B11)-B15</x:f>
        <x:v>0</x:v>
      </x:c>
      <x:c r="C16" s="54" t="str">
        <x:v>公式</x:v>
      </x:c>
      <x:c r="D16" s="54" t="str">
        <x:v>死亡伤残总赔付减精神分配</x:v>
      </x:c>
    </x:row>
    <x:row r="17">
      <x:c r="A17" s="59" t="str">
        <x:v>死亡伤残交强险合计</x:v>
      </x:c>
      <x:c r="B17" s="69" t="n">
        <x:f>B15+B16</x:f>
        <x:v>0</x:v>
      </x:c>
      <x:c r="C17" s="59" t="str">
        <x:v>结果</x:v>
      </x:c>
      <x:c r="D17" s="59" t="str">
        <x:v>不超过分项限额</x:v>
      </x:c>
    </x:row>
    <x:row r="18">
      <x:c r="A18" s="59" t="str">
        <x:v>医疗交强险分配</x:v>
      </x:c>
      <x:c r="B18" s="69" t="n">
        <x:f>MIN(B7,B12)</x:f>
        <x:v>0</x:v>
      </x:c>
      <x:c r="C18" s="59" t="str">
        <x:v>结果</x:v>
      </x:c>
      <x:c r="D18" s="59" t="str">
        <x:v>不超过分项限额</x:v>
      </x:c>
    </x:row>
    <x:row r="19">
      <x:c r="A19" s="59" t="str">
        <x:v>财产交强险分配</x:v>
      </x:c>
      <x:c r="B19" s="69" t="n">
        <x:f>MIN(B8,B13)</x:f>
        <x:v>0</x:v>
      </x:c>
      <x:c r="C19" s="59" t="str">
        <x:v>结果</x:v>
      </x:c>
      <x:c r="D19" s="59" t="str">
        <x:v>不超过分项限额</x:v>
      </x:c>
    </x:row>
    <x:row r="20">
      <x:c r="A20" s="59" t="str">
        <x:v>交强险合计</x:v>
      </x:c>
      <x:c r="B20" s="69" t="n">
        <x:f>SUM(B17:B19)</x:f>
        <x:v>0</x:v>
      </x:c>
      <x:c r="C20" s="59" t="str">
        <x:v>结果</x:v>
      </x:c>
      <x:c r="D20" s="59" t="str">
        <x:v>三个分项相加</x:v>
      </x:c>
    </x:row>
    <x:row r="21">
      <x:c r="A21" s="54" t="str"/>
      <x:c r="B21" s="66" t="str"/>
      <x:c r="C21" s="54" t="str"/>
      <x:c r="D21" s="54" t="str"/>
    </x:row>
    <x:row r="22">
      <x:c r="A22" s="59" t="str">
        <x:v>认可损失总额</x:v>
      </x:c>
      <x:c r="B22" s="69" t="n">
        <x:f>'02_赔偿项目'!I28</x:f>
        <x:v>0</x:v>
      </x:c>
      <x:c r="C22" s="59" t="str">
        <x:v>结果</x:v>
      </x:c>
      <x:c r="D22" s="59" t="str">
        <x:v>来自02表</x:v>
      </x:c>
    </x:row>
    <x:row r="23">
      <x:c r="A23" s="59" t="str">
        <x:v>交强险后余额</x:v>
      </x:c>
      <x:c r="B23" s="69" t="n">
        <x:f>MAX(0,B22-B20)</x:f>
        <x:v>0</x:v>
      </x:c>
      <x:c r="C23" s="59" t="str">
        <x:v>公式</x:v>
      </x:c>
      <x:c r="D23" s="59" t="str">
        <x:v>认可损失－交强险</x:v>
      </x:c>
    </x:row>
    <x:row r="24">
      <x:c r="A24" s="59" t="str">
        <x:v>交强险外责任基数</x:v>
      </x:c>
      <x:c r="B24" s="69" t="n">
        <x:f>IF('01_案件参数'!C29="",0,ROUND(MAX(0,B23-MAX(0,B6-B15))*'01_案件参数'!C29+MAX(0,B6-B15)*IF('01_案件参数'!C35="已体现责任比例",1,'01_案件参数'!C29),2))</x:f>
        <x:v>0</x:v>
      </x:c>
      <x:c r="C24" s="59" t="str">
        <x:v>公式</x:v>
      </x:c>
      <x:c r="D24" s="59" t="str">
        <x:v>余额×人工确认民事责任比例</x:v>
      </x:c>
    </x:row>
    <x:row r="25">
      <x:c r="A25" s="59" t="str">
        <x:v>受害人自担/依法不归责</x:v>
      </x:c>
      <x:c r="B25" s="69" t="n">
        <x:f>B23-B24</x:f>
        <x:v>0</x:v>
      </x:c>
      <x:c r="C25" s="59" t="str">
        <x:v>公式</x:v>
      </x:c>
      <x:c r="D25" s="59" t="str">
        <x:v>余额－责任基数</x:v>
      </x:c>
    </x:row>
    <x:row r="26">
      <x:c r="A26" s="59" t="str">
        <x:v>商业险计算基数</x:v>
      </x:c>
      <x:c r="B26" s="69" t="n">
        <x:f>MAX(0,B24-'01_案件参数'!C32)</x:f>
        <x:v>0</x:v>
      </x:c>
      <x:c r="C26" s="59" t="str">
        <x:v>公式</x:v>
      </x:c>
      <x:c r="D26" s="59" t="str">
        <x:v>责任基数－不承保金额</x:v>
      </x:c>
    </x:row>
    <x:row r="27">
      <x:c r="A27" s="59" t="str">
        <x:v>商业险理论额</x:v>
      </x:c>
      <x:c r="B27" s="69" t="n">
        <x:f>MAX(0,B26-'01_案件参数'!C33)*(1-'01_案件参数'!C34)</x:f>
        <x:v>0</x:v>
      </x:c>
      <x:c r="C27" s="59" t="str">
        <x:v>公式</x:v>
      </x:c>
      <x:c r="D27" s="59" t="str">
        <x:v>(基数－固定免赔)×(1－免赔率)</x:v>
      </x:c>
    </x:row>
    <x:row r="28">
      <x:c r="A28" s="59" t="str">
        <x:v>商业险实赔</x:v>
      </x:c>
      <x:c r="B28" s="69" t="n">
        <x:f>IF('01_案件参数'!C31="",0,MIN('01_案件参数'!C31,B27))</x:f>
        <x:v>0</x:v>
      </x:c>
      <x:c r="C28" s="59" t="str">
        <x:v>结果</x:v>
      </x:c>
      <x:c r="D28" s="59" t="str">
        <x:v>不超过剩余保额</x:v>
      </x:c>
    </x:row>
    <x:row r="29">
      <x:c r="A29" s="59" t="str">
        <x:v>侵权人理论承担</x:v>
      </x:c>
      <x:c r="B29" s="69" t="n">
        <x:f>MAX(0,B24-B28)</x:f>
        <x:v>0</x:v>
      </x:c>
      <x:c r="C29" s="59" t="str">
        <x:v>结果</x:v>
      </x:c>
      <x:c r="D29" s="59" t="str">
        <x:v>责任基数－商业险实赔</x:v>
      </x:c>
    </x:row>
    <x:row r="30">
      <x:c r="A30" s="60" t="str">
        <x:v>损害分层差额</x:v>
      </x:c>
      <x:c r="B30" s="72" t="n">
        <x:f>ROUND(B22-B20-B28-B29-B25,2)</x:f>
        <x:v>0</x:v>
      </x:c>
      <x:c r="C30" s="60" t="str">
        <x:v>报警</x:v>
      </x:c>
      <x:c r="D30" s="60" t="str">
        <x:v>应为0.00元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9" hidden="0" customWidth="1"/>
    <x:col min="4" max="4" width="15" hidden="0" customWidth="1"/>
    <x:col min="5" max="5" width="17" hidden="0" customWidth="1"/>
    <x:col min="6" max="6" width="17" hidden="0" customWidth="1"/>
    <x:col min="7" max="7" width="15" hidden="0" customWidth="1"/>
    <x:col min="8" max="8" width="13" hidden="0" customWidth="1"/>
    <x:col min="9" max="9" width="14" hidden="0" customWidth="1"/>
    <x:col min="10" max="10" width="16" hidden="0" customWidth="1"/>
    <x:col min="11" max="11" width="16" hidden="0" customWidth="1"/>
    <x:col min="12" max="12" width="32" hidden="0" customWidth="1"/>
  </x:cols>
  <x:sheetData>
    <x:row r="1" ht="30" customHeight="1">
      <x:c r="A1" s="50" t="str">
        <x:v>已付款抵扣台账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</x:row>
    <x:row r="2" ht="32" customHeight="1">
      <x:c r="A2" s="51" t="str">
        <x:v>按实际付款人和义务层分别抵扣。保险人或侵权人直接付医院的款项放在这里；基本医保/工伤/救助基金在02表H列处理。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</x:row>
    <x:row r="4">
      <x:c r="A4" s="53" t="str">
        <x:v>PAY ID</x:v>
      </x:c>
      <x:c r="B4" s="53" t="str">
        <x:v>日期</x:v>
      </x:c>
      <x:c r="C4" s="53" t="str">
        <x:v>实际付款人</x:v>
      </x:c>
      <x:c r="D4" s="53" t="str">
        <x:v>抵扣义务层</x:v>
      </x:c>
      <x:c r="E4" s="53" t="str">
        <x:v>代谁付款</x:v>
      </x:c>
      <x:c r="F4" s="53" t="str">
        <x:v>收款人</x:v>
      </x:c>
      <x:c r="G4" s="53" t="str">
        <x:v>金额</x:v>
      </x:c>
      <x:c r="H4" s="53" t="str">
        <x:v>认可抵扣</x:v>
      </x:c>
      <x:c r="I4" s="53" t="str">
        <x:v>证据ID</x:v>
      </x:c>
      <x:c r="J4" s="53" t="str">
        <x:v>已分配金额</x:v>
      </x:c>
      <x:c r="K4" s="53" t="str">
        <x:v>未分配金额</x:v>
      </x:c>
      <x:c r="L4" s="53" t="str">
        <x:v>说明</x:v>
      </x:c>
    </x:row>
    <x:row r="5">
      <x:c r="A5" s="54" t="str">
        <x:v>PAY-001</x:v>
      </x:c>
      <x:c r="B5" s="62" t="str"/>
      <x:c r="C5" s="55" t="str"/>
      <x:c r="D5" s="55" t="str"/>
      <x:c r="E5" s="55" t="str"/>
      <x:c r="F5" s="55" t="str"/>
      <x:c r="G5" s="67" t="str"/>
      <x:c r="H5" s="67" t="str">
        <x:v>待核</x:v>
      </x:c>
      <x:c r="I5" s="67" t="str"/>
      <x:c r="J5" s="66" t="n">
        <x:f>IF(OR(G5="",H5&lt;&gt;"是"),0,G5)</x:f>
        <x:v>0</x:v>
      </x:c>
      <x:c r="K5" s="66" t="n">
        <x:f>MAX(0,IF(G5="",0,G5)-J5)</x:f>
        <x:v>0</x:v>
      </x:c>
      <x:c r="L5" s="55" t="str"/>
    </x:row>
    <x:row r="6">
      <x:c r="A6" s="54" t="str">
        <x:v>PAY-002</x:v>
      </x:c>
      <x:c r="B6" s="62" t="str"/>
      <x:c r="C6" s="55" t="str"/>
      <x:c r="D6" s="55" t="str"/>
      <x:c r="E6" s="55" t="str"/>
      <x:c r="F6" s="55" t="str"/>
      <x:c r="G6" s="67" t="str"/>
      <x:c r="H6" s="67" t="str">
        <x:v>待核</x:v>
      </x:c>
      <x:c r="I6" s="67" t="str"/>
      <x:c r="J6" s="66" t="n">
        <x:f>IF(OR(G6="",H6&lt;&gt;"是"),0,G6)</x:f>
        <x:v>0</x:v>
      </x:c>
      <x:c r="K6" s="66" t="n">
        <x:f>MAX(0,IF(G6="",0,G6)-J6)</x:f>
        <x:v>0</x:v>
      </x:c>
      <x:c r="L6" s="55" t="str"/>
    </x:row>
    <x:row r="7">
      <x:c r="A7" s="54" t="str">
        <x:v>PAY-003</x:v>
      </x:c>
      <x:c r="B7" s="62" t="str"/>
      <x:c r="C7" s="55" t="str"/>
      <x:c r="D7" s="55" t="str"/>
      <x:c r="E7" s="55" t="str"/>
      <x:c r="F7" s="55" t="str"/>
      <x:c r="G7" s="67" t="str"/>
      <x:c r="H7" s="67" t="str">
        <x:v>待核</x:v>
      </x:c>
      <x:c r="I7" s="67" t="str"/>
      <x:c r="J7" s="66" t="n">
        <x:f>IF(OR(G7="",H7&lt;&gt;"是"),0,G7)</x:f>
        <x:v>0</x:v>
      </x:c>
      <x:c r="K7" s="66" t="n">
        <x:f>MAX(0,IF(G7="",0,G7)-J7)</x:f>
        <x:v>0</x:v>
      </x:c>
      <x:c r="L7" s="55" t="str"/>
    </x:row>
    <x:row r="8">
      <x:c r="A8" s="54" t="str">
        <x:v>PAY-004</x:v>
      </x:c>
      <x:c r="B8" s="62" t="str"/>
      <x:c r="C8" s="55" t="str"/>
      <x:c r="D8" s="55" t="str"/>
      <x:c r="E8" s="55" t="str"/>
      <x:c r="F8" s="55" t="str"/>
      <x:c r="G8" s="67" t="str"/>
      <x:c r="H8" s="67" t="str">
        <x:v>待核</x:v>
      </x:c>
      <x:c r="I8" s="67" t="str"/>
      <x:c r="J8" s="66" t="n">
        <x:f>IF(OR(G8="",H8&lt;&gt;"是"),0,G8)</x:f>
        <x:v>0</x:v>
      </x:c>
      <x:c r="K8" s="66" t="n">
        <x:f>MAX(0,IF(G8="",0,G8)-J8)</x:f>
        <x:v>0</x:v>
      </x:c>
      <x:c r="L8" s="55" t="str"/>
    </x:row>
    <x:row r="9">
      <x:c r="A9" s="54" t="str">
        <x:v>PAY-005</x:v>
      </x:c>
      <x:c r="B9" s="62" t="str"/>
      <x:c r="C9" s="55" t="str"/>
      <x:c r="D9" s="55" t="str"/>
      <x:c r="E9" s="55" t="str"/>
      <x:c r="F9" s="55" t="str"/>
      <x:c r="G9" s="67" t="str"/>
      <x:c r="H9" s="67" t="str">
        <x:v>待核</x:v>
      </x:c>
      <x:c r="I9" s="67" t="str"/>
      <x:c r="J9" s="66" t="n">
        <x:f>IF(OR(G9="",H9&lt;&gt;"是"),0,G9)</x:f>
        <x:v>0</x:v>
      </x:c>
      <x:c r="K9" s="66" t="n">
        <x:f>MAX(0,IF(G9="",0,G9)-J9)</x:f>
        <x:v>0</x:v>
      </x:c>
      <x:c r="L9" s="55" t="str"/>
    </x:row>
    <x:row r="10">
      <x:c r="A10" s="54" t="str">
        <x:v>PAY-006</x:v>
      </x:c>
      <x:c r="B10" s="62" t="str"/>
      <x:c r="C10" s="55" t="str"/>
      <x:c r="D10" s="55" t="str"/>
      <x:c r="E10" s="55" t="str"/>
      <x:c r="F10" s="55" t="str"/>
      <x:c r="G10" s="67" t="str"/>
      <x:c r="H10" s="67" t="str">
        <x:v>待核</x:v>
      </x:c>
      <x:c r="I10" s="67" t="str"/>
      <x:c r="J10" s="66" t="n">
        <x:f>IF(OR(G10="",H10&lt;&gt;"是"),0,G10)</x:f>
        <x:v>0</x:v>
      </x:c>
      <x:c r="K10" s="66" t="n">
        <x:f>MAX(0,IF(G10="",0,G10)-J10)</x:f>
        <x:v>0</x:v>
      </x:c>
      <x:c r="L10" s="55" t="str"/>
    </x:row>
    <x:row r="11">
      <x:c r="A11" s="54" t="str">
        <x:v>PAY-007</x:v>
      </x:c>
      <x:c r="B11" s="62" t="str"/>
      <x:c r="C11" s="55" t="str"/>
      <x:c r="D11" s="55" t="str"/>
      <x:c r="E11" s="55" t="str"/>
      <x:c r="F11" s="55" t="str"/>
      <x:c r="G11" s="67" t="str"/>
      <x:c r="H11" s="67" t="str">
        <x:v>待核</x:v>
      </x:c>
      <x:c r="I11" s="67" t="str"/>
      <x:c r="J11" s="66" t="n">
        <x:f>IF(OR(G11="",H11&lt;&gt;"是"),0,G11)</x:f>
        <x:v>0</x:v>
      </x:c>
      <x:c r="K11" s="66" t="n">
        <x:f>MAX(0,IF(G11="",0,G11)-J11)</x:f>
        <x:v>0</x:v>
      </x:c>
      <x:c r="L11" s="55" t="str"/>
    </x:row>
    <x:row r="12">
      <x:c r="A12" s="54" t="str">
        <x:v>PAY-008</x:v>
      </x:c>
      <x:c r="B12" s="62" t="str"/>
      <x:c r="C12" s="55" t="str"/>
      <x:c r="D12" s="55" t="str"/>
      <x:c r="E12" s="55" t="str"/>
      <x:c r="F12" s="55" t="str"/>
      <x:c r="G12" s="67" t="str"/>
      <x:c r="H12" s="67" t="str">
        <x:v>待核</x:v>
      </x:c>
      <x:c r="I12" s="67" t="str"/>
      <x:c r="J12" s="66" t="n">
        <x:f>IF(OR(G12="",H12&lt;&gt;"是"),0,G12)</x:f>
        <x:v>0</x:v>
      </x:c>
      <x:c r="K12" s="66" t="n">
        <x:f>MAX(0,IF(G12="",0,G12)-J12)</x:f>
        <x:v>0</x:v>
      </x:c>
      <x:c r="L12" s="55" t="str"/>
    </x:row>
    <x:row r="13">
      <x:c r="A13" s="54" t="str">
        <x:v>PAY-009</x:v>
      </x:c>
      <x:c r="B13" s="62" t="str"/>
      <x:c r="C13" s="55" t="str"/>
      <x:c r="D13" s="55" t="str"/>
      <x:c r="E13" s="55" t="str"/>
      <x:c r="F13" s="55" t="str"/>
      <x:c r="G13" s="67" t="str"/>
      <x:c r="H13" s="67" t="str">
        <x:v>待核</x:v>
      </x:c>
      <x:c r="I13" s="67" t="str"/>
      <x:c r="J13" s="66" t="n">
        <x:f>IF(OR(G13="",H13&lt;&gt;"是"),0,G13)</x:f>
        <x:v>0</x:v>
      </x:c>
      <x:c r="K13" s="66" t="n">
        <x:f>MAX(0,IF(G13="",0,G13)-J13)</x:f>
        <x:v>0</x:v>
      </x:c>
      <x:c r="L13" s="55" t="str"/>
    </x:row>
    <x:row r="14">
      <x:c r="A14" s="54" t="str">
        <x:v>PAY-010</x:v>
      </x:c>
      <x:c r="B14" s="62" t="str"/>
      <x:c r="C14" s="55" t="str"/>
      <x:c r="D14" s="55" t="str"/>
      <x:c r="E14" s="55" t="str"/>
      <x:c r="F14" s="55" t="str"/>
      <x:c r="G14" s="67" t="str"/>
      <x:c r="H14" s="67" t="str">
        <x:v>待核</x:v>
      </x:c>
      <x:c r="I14" s="67" t="str"/>
      <x:c r="J14" s="66" t="n">
        <x:f>IF(OR(G14="",H14&lt;&gt;"是"),0,G14)</x:f>
        <x:v>0</x:v>
      </x:c>
      <x:c r="K14" s="66" t="n">
        <x:f>MAX(0,IF(G14="",0,G14)-J14)</x:f>
        <x:v>0</x:v>
      </x:c>
      <x:c r="L14" s="55" t="str"/>
    </x:row>
    <x:row r="15">
      <x:c r="A15" s="54" t="str">
        <x:v>PAY-011</x:v>
      </x:c>
      <x:c r="B15" s="62" t="str"/>
      <x:c r="C15" s="55" t="str"/>
      <x:c r="D15" s="55" t="str"/>
      <x:c r="E15" s="55" t="str"/>
      <x:c r="F15" s="55" t="str"/>
      <x:c r="G15" s="67" t="str"/>
      <x:c r="H15" s="67" t="str">
        <x:v>待核</x:v>
      </x:c>
      <x:c r="I15" s="67" t="str"/>
      <x:c r="J15" s="66" t="n">
        <x:f>IF(OR(G15="",H15&lt;&gt;"是"),0,G15)</x:f>
        <x:v>0</x:v>
      </x:c>
      <x:c r="K15" s="66" t="n">
        <x:f>MAX(0,IF(G15="",0,G15)-J15)</x:f>
        <x:v>0</x:v>
      </x:c>
      <x:c r="L15" s="55" t="str"/>
    </x:row>
    <x:row r="16">
      <x:c r="A16" s="54" t="str">
        <x:v>PAY-012</x:v>
      </x:c>
      <x:c r="B16" s="62" t="str"/>
      <x:c r="C16" s="55" t="str"/>
      <x:c r="D16" s="55" t="str"/>
      <x:c r="E16" s="55" t="str"/>
      <x:c r="F16" s="55" t="str"/>
      <x:c r="G16" s="67" t="str"/>
      <x:c r="H16" s="67" t="str">
        <x:v>待核</x:v>
      </x:c>
      <x:c r="I16" s="67" t="str"/>
      <x:c r="J16" s="66" t="n">
        <x:f>IF(OR(G16="",H16&lt;&gt;"是"),0,G16)</x:f>
        <x:v>0</x:v>
      </x:c>
      <x:c r="K16" s="66" t="n">
        <x:f>MAX(0,IF(G16="",0,G16)-J16)</x:f>
        <x:v>0</x:v>
      </x:c>
      <x:c r="L16" s="55" t="str"/>
    </x:row>
    <x:row r="17">
      <x:c r="A17" s="54" t="str">
        <x:v>PAY-013</x:v>
      </x:c>
      <x:c r="B17" s="62" t="str"/>
      <x:c r="C17" s="55" t="str"/>
      <x:c r="D17" s="55" t="str"/>
      <x:c r="E17" s="55" t="str"/>
      <x:c r="F17" s="55" t="str"/>
      <x:c r="G17" s="67" t="str"/>
      <x:c r="H17" s="67" t="str">
        <x:v>待核</x:v>
      </x:c>
      <x:c r="I17" s="67" t="str"/>
      <x:c r="J17" s="66" t="n">
        <x:f>IF(OR(G17="",H17&lt;&gt;"是"),0,G17)</x:f>
        <x:v>0</x:v>
      </x:c>
      <x:c r="K17" s="66" t="n">
        <x:f>MAX(0,IF(G17="",0,G17)-J17)</x:f>
        <x:v>0</x:v>
      </x:c>
      <x:c r="L17" s="55" t="str"/>
    </x:row>
    <x:row r="18">
      <x:c r="A18" s="54" t="str">
        <x:v>PAY-014</x:v>
      </x:c>
      <x:c r="B18" s="62" t="str"/>
      <x:c r="C18" s="55" t="str"/>
      <x:c r="D18" s="55" t="str"/>
      <x:c r="E18" s="55" t="str"/>
      <x:c r="F18" s="55" t="str"/>
      <x:c r="G18" s="67" t="str"/>
      <x:c r="H18" s="67" t="str">
        <x:v>待核</x:v>
      </x:c>
      <x:c r="I18" s="67" t="str"/>
      <x:c r="J18" s="66" t="n">
        <x:f>IF(OR(G18="",H18&lt;&gt;"是"),0,G18)</x:f>
        <x:v>0</x:v>
      </x:c>
      <x:c r="K18" s="66" t="n">
        <x:f>MAX(0,IF(G18="",0,G18)-J18)</x:f>
        <x:v>0</x:v>
      </x:c>
      <x:c r="L18" s="55" t="str"/>
    </x:row>
    <x:row r="19">
      <x:c r="A19" s="54" t="str">
        <x:v>PAY-015</x:v>
      </x:c>
      <x:c r="B19" s="62" t="str"/>
      <x:c r="C19" s="55" t="str"/>
      <x:c r="D19" s="55" t="str"/>
      <x:c r="E19" s="55" t="str"/>
      <x:c r="F19" s="55" t="str"/>
      <x:c r="G19" s="67" t="str"/>
      <x:c r="H19" s="67" t="str">
        <x:v>待核</x:v>
      </x:c>
      <x:c r="I19" s="67" t="str"/>
      <x:c r="J19" s="66" t="n">
        <x:f>IF(OR(G19="",H19&lt;&gt;"是"),0,G19)</x:f>
        <x:v>0</x:v>
      </x:c>
      <x:c r="K19" s="66" t="n">
        <x:f>MAX(0,IF(G19="",0,G19)-J19)</x:f>
        <x:v>0</x:v>
      </x:c>
      <x:c r="L19" s="55" t="str"/>
    </x:row>
    <x:row r="20">
      <x:c r="A20" s="54" t="str">
        <x:v>PAY-016</x:v>
      </x:c>
      <x:c r="B20" s="62" t="str"/>
      <x:c r="C20" s="55" t="str"/>
      <x:c r="D20" s="55" t="str"/>
      <x:c r="E20" s="55" t="str"/>
      <x:c r="F20" s="55" t="str"/>
      <x:c r="G20" s="67" t="str"/>
      <x:c r="H20" s="67" t="str">
        <x:v>待核</x:v>
      </x:c>
      <x:c r="I20" s="67" t="str"/>
      <x:c r="J20" s="66" t="n">
        <x:f>IF(OR(G20="",H20&lt;&gt;"是"),0,G20)</x:f>
        <x:v>0</x:v>
      </x:c>
      <x:c r="K20" s="66" t="n">
        <x:f>MAX(0,IF(G20="",0,G20)-J20)</x:f>
        <x:v>0</x:v>
      </x:c>
      <x:c r="L20" s="55" t="str"/>
    </x:row>
    <x:row r="21">
      <x:c r="A21" s="54" t="str">
        <x:v>PAY-017</x:v>
      </x:c>
      <x:c r="B21" s="62" t="str"/>
      <x:c r="C21" s="55" t="str"/>
      <x:c r="D21" s="55" t="str"/>
      <x:c r="E21" s="55" t="str"/>
      <x:c r="F21" s="55" t="str"/>
      <x:c r="G21" s="67" t="str"/>
      <x:c r="H21" s="67" t="str">
        <x:v>待核</x:v>
      </x:c>
      <x:c r="I21" s="67" t="str"/>
      <x:c r="J21" s="66" t="n">
        <x:f>IF(OR(G21="",H21&lt;&gt;"是"),0,G21)</x:f>
        <x:v>0</x:v>
      </x:c>
      <x:c r="K21" s="66" t="n">
        <x:f>MAX(0,IF(G21="",0,G21)-J21)</x:f>
        <x:v>0</x:v>
      </x:c>
      <x:c r="L21" s="55" t="str"/>
    </x:row>
    <x:row r="22">
      <x:c r="A22" s="54" t="str">
        <x:v>PAY-018</x:v>
      </x:c>
      <x:c r="B22" s="62" t="str"/>
      <x:c r="C22" s="55" t="str"/>
      <x:c r="D22" s="55" t="str"/>
      <x:c r="E22" s="55" t="str"/>
      <x:c r="F22" s="55" t="str"/>
      <x:c r="G22" s="67" t="str"/>
      <x:c r="H22" s="67" t="str">
        <x:v>待核</x:v>
      </x:c>
      <x:c r="I22" s="67" t="str"/>
      <x:c r="J22" s="66" t="n">
        <x:f>IF(OR(G22="",H22&lt;&gt;"是"),0,G22)</x:f>
        <x:v>0</x:v>
      </x:c>
      <x:c r="K22" s="66" t="n">
        <x:f>MAX(0,IF(G22="",0,G22)-J22)</x:f>
        <x:v>0</x:v>
      </x:c>
      <x:c r="L22" s="55" t="str"/>
    </x:row>
    <x:row r="23">
      <x:c r="A23" s="54" t="str">
        <x:v>PAY-019</x:v>
      </x:c>
      <x:c r="B23" s="62" t="str"/>
      <x:c r="C23" s="55" t="str"/>
      <x:c r="D23" s="55" t="str"/>
      <x:c r="E23" s="55" t="str"/>
      <x:c r="F23" s="55" t="str"/>
      <x:c r="G23" s="67" t="str"/>
      <x:c r="H23" s="67" t="str">
        <x:v>待核</x:v>
      </x:c>
      <x:c r="I23" s="67" t="str"/>
      <x:c r="J23" s="66" t="n">
        <x:f>IF(OR(G23="",H23&lt;&gt;"是"),0,G23)</x:f>
        <x:v>0</x:v>
      </x:c>
      <x:c r="K23" s="66" t="n">
        <x:f>MAX(0,IF(G23="",0,G23)-J23)</x:f>
        <x:v>0</x:v>
      </x:c>
      <x:c r="L23" s="55" t="str"/>
    </x:row>
    <x:row r="24">
      <x:c r="A24" s="54" t="str">
        <x:v>PAY-020</x:v>
      </x:c>
      <x:c r="B24" s="62" t="str"/>
      <x:c r="C24" s="55" t="str"/>
      <x:c r="D24" s="55" t="str"/>
      <x:c r="E24" s="55" t="str"/>
      <x:c r="F24" s="55" t="str"/>
      <x:c r="G24" s="67" t="str"/>
      <x:c r="H24" s="67" t="str">
        <x:v>待核</x:v>
      </x:c>
      <x:c r="I24" s="67" t="str"/>
      <x:c r="J24" s="66" t="n">
        <x:f>IF(OR(G24="",H24&lt;&gt;"是"),0,G24)</x:f>
        <x:v>0</x:v>
      </x:c>
      <x:c r="K24" s="66" t="n">
        <x:f>MAX(0,IF(G24="",0,G24)-J24)</x:f>
        <x:v>0</x:v>
      </x:c>
      <x:c r="L24" s="55" t="str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</x:row>
    <x:row r="27">
      <x:c r="A27" s="53" t="str">
        <x:v>义务层</x:v>
      </x:c>
      <x:c r="B27" s="53" t="str">
        <x:v>理论义务</x:v>
      </x:c>
      <x:c r="C27" s="53" t="str">
        <x:v>认可已付</x:v>
      </x:c>
      <x:c r="D27" s="53" t="str">
        <x:v>尚欠</x:v>
      </x:c>
      <x:c r="E27" s="53" t="str">
        <x:v>超额/待说明</x:v>
      </x:c>
      <x:c r="F27" s="52"/>
      <x:c r="G27" s="52"/>
      <x:c r="H27" s="52"/>
      <x:c r="I27" s="52"/>
      <x:c r="J27" s="52"/>
      <x:c r="K27" s="52"/>
      <x:c r="L27" s="52"/>
    </x:row>
    <x:row r="28">
      <x:c r="A28" s="59" t="str">
        <x:v>交强险</x:v>
      </x:c>
      <x:c r="B28" s="69" t="n">
        <x:f>'04_保险分配'!B20</x:f>
        <x:v>0</x:v>
      </x:c>
      <x:c r="C28" s="69" t="n">
        <x:f>SUMIF($D$5:$D$24,A28,$J$5:$J$24)</x:f>
        <x:v>0</x:v>
      </x:c>
      <x:c r="D28" s="69" t="n">
        <x:f>MAX(0,B28-C28)</x:f>
        <x:v>0</x:v>
      </x:c>
      <x:c r="E28" s="69" t="n">
        <x:f>MAX(0,C28-B28)</x:f>
        <x:v>0</x:v>
      </x:c>
      <x:c r="F28" s="52"/>
      <x:c r="G28" s="52"/>
      <x:c r="H28" s="52"/>
      <x:c r="I28" s="52"/>
      <x:c r="J28" s="52"/>
      <x:c r="K28" s="52"/>
      <x:c r="L28" s="52"/>
    </x:row>
    <x:row r="29">
      <x:c r="A29" s="59" t="str">
        <x:v>商业险</x:v>
      </x:c>
      <x:c r="B29" s="69" t="n">
        <x:f>'04_保险分配'!B28</x:f>
        <x:v>0</x:v>
      </x:c>
      <x:c r="C29" s="69" t="n">
        <x:f>SUMIF($D$5:$D$24,A29,$J$5:$J$24)</x:f>
        <x:v>0</x:v>
      </x:c>
      <x:c r="D29" s="69" t="n">
        <x:f>MAX(0,B29-C29)</x:f>
        <x:v>0</x:v>
      </x:c>
      <x:c r="E29" s="69" t="n">
        <x:f>MAX(0,C29-B29)</x:f>
        <x:v>0</x:v>
      </x:c>
      <x:c r="F29" s="52"/>
      <x:c r="G29" s="52"/>
      <x:c r="H29" s="52"/>
      <x:c r="I29" s="52"/>
      <x:c r="J29" s="52"/>
      <x:c r="K29" s="52"/>
      <x:c r="L29" s="52"/>
    </x:row>
    <x:row r="30">
      <x:c r="A30" s="59" t="str">
        <x:v>侵权人</x:v>
      </x:c>
      <x:c r="B30" s="69" t="n">
        <x:f>'04_保险分配'!B29</x:f>
        <x:v>0</x:v>
      </x:c>
      <x:c r="C30" s="69" t="n">
        <x:f>SUMIF($D$5:$D$24,A30,$J$5:$J$24)</x:f>
        <x:v>0</x:v>
      </x:c>
      <x:c r="D30" s="69" t="n">
        <x:f>MAX(0,B30-C30)</x:f>
        <x:v>0</x:v>
      </x:c>
      <x:c r="E30" s="69" t="n">
        <x:f>MAX(0,C30-B30)</x:f>
        <x:v>0</x:v>
      </x:c>
      <x:c r="F30" s="52"/>
      <x:c r="G30" s="52"/>
      <x:c r="H30" s="52"/>
      <x:c r="I30" s="52"/>
      <x:c r="J30" s="52"/>
      <x:c r="K30" s="52"/>
      <x:c r="L30" s="52"/>
    </x:row>
    <x:row r="31">
      <x:c r="A31" s="59" t="str">
        <x:v>合计</x:v>
      </x:c>
      <x:c r="B31" s="69" t="n">
        <x:f>SUM(B28:B30)</x:f>
        <x:v>0</x:v>
      </x:c>
      <x:c r="C31" s="69" t="n">
        <x:f>SUM(C28:C30)</x:f>
        <x:v>0</x:v>
      </x:c>
      <x:c r="D31" s="69" t="n">
        <x:f>SUM(D28:D30)</x:f>
        <x:v>0</x:v>
      </x:c>
      <x:c r="E31" s="69" t="n">
        <x:f>SUM(E28:E30)</x:f>
        <x:v>0</x:v>
      </x:c>
      <x:c r="F31" s="52"/>
      <x:c r="G31" s="52"/>
      <x:c r="H31" s="52"/>
      <x:c r="I31" s="52"/>
      <x:c r="J31" s="52"/>
      <x:c r="K31" s="52"/>
      <x:c r="L31" s="52"/>
    </x:row>
  </x:sheetData>
  <x:mergeCells>
    <x:mergeCell ref="A1:L1"/>
    <x:mergeCell ref="A2:L2"/>
  </x:mergeCells>
  <x:dataValidations count="2">
    <x:dataValidation type="list" sqref="D5:D24">
      <x:formula1>"交强险,商业险,侵权人,其他"</x:formula1>
    </x:dataValidation>
    <x:dataValidation type="list" sqref="H5:H24">
      <x:formula1>"是,否,待核"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30" hidden="0" customWidth="1"/>
    <x:col min="4" max="4" width="13" hidden="0" customWidth="1"/>
    <x:col min="5" max="5" width="38" hidden="0" customWidth="1"/>
    <x:col min="6" max="6" width="12" hidden="0" customWidth="1"/>
    <x:col min="7" max="7" width="11" hidden="0" customWidth="1"/>
    <x:col min="8" max="8" width="11" hidden="0" customWidth="1"/>
    <x:col min="9" max="9" width="24" hidden="0" customWidth="1"/>
    <x:col min="10" max="10" width="35" hidden="0" customWidth="1"/>
    <x:col min="11" max="11" width="18" hidden="0" customWidth="1"/>
  </x:cols>
  <x:sheetData>
    <x:row r="1" ht="30" customHeight="1">
      <x:c r="A1" s="50" t="str">
        <x:v>证据—赔偿项目多对多映射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</x:row>
    <x:row r="2" ht="32" customHeight="1">
      <x:c r="A2" s="51" t="str">
        <x:v>一项赔偿可对应多项证据，一项证据也可对应多个DMG ID。页码只从最终冻结证据册回填，不得预估。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</x:row>
    <x:row r="4">
      <x:c r="A4" s="53" t="str">
        <x:v>MAP ID</x:v>
      </x:c>
      <x:c r="B4" s="53" t="str">
        <x:v>证据ID</x:v>
      </x:c>
      <x:c r="C4" s="53" t="str">
        <x:v>证据准确名称</x:v>
      </x:c>
      <x:c r="D4" s="53" t="str">
        <x:v>DMG ID</x:v>
      </x:c>
      <x:c r="E4" s="53" t="str">
        <x:v>具体证明对象</x:v>
      </x:c>
      <x:c r="F4" s="53" t="str">
        <x:v>册次</x:v>
      </x:c>
      <x:c r="G4" s="53" t="str">
        <x:v>起始页</x:v>
      </x:c>
      <x:c r="H4" s="53" t="str">
        <x:v>终止页</x:v>
      </x:c>
      <x:c r="I4" s="53" t="str">
        <x:v>原件/载体状态</x:v>
      </x:c>
      <x:c r="J4" s="53" t="str">
        <x:v>来源/缺口/说明</x:v>
      </x:c>
      <x:c r="K4" s="53" t="str">
        <x:v>页码倒置标记（1=阻断）</x:v>
      </x:c>
    </x:row>
    <x:row r="5">
      <x:c r="A5" s="54" t="str">
        <x:v>MAP-001</x:v>
      </x:c>
      <x:c r="B5" s="55" t="str"/>
      <x:c r="C5" s="55" t="str"/>
      <x:c r="D5" s="55" t="str"/>
      <x:c r="E5" s="55" t="str"/>
      <x:c r="F5" s="55" t="str"/>
      <x:c r="G5" s="73" t="str"/>
      <x:c r="H5" s="73" t="str"/>
      <x:c r="I5" s="55" t="str"/>
      <x:c r="J5" s="55" t="str"/>
      <x:c r="K5" s="58" t="n">
        <x:f>IF(OR(G5="",H5=""),0,IF(H5&lt;G5,1,0))</x:f>
        <x:v>0</x:v>
      </x:c>
    </x:row>
    <x:row r="6">
      <x:c r="A6" s="54" t="str">
        <x:v>MAP-002</x:v>
      </x:c>
      <x:c r="B6" s="55" t="str"/>
      <x:c r="C6" s="55" t="str"/>
      <x:c r="D6" s="55" t="str"/>
      <x:c r="E6" s="55" t="str"/>
      <x:c r="F6" s="55" t="str"/>
      <x:c r="G6" s="73" t="str"/>
      <x:c r="H6" s="73" t="str"/>
      <x:c r="I6" s="55" t="str"/>
      <x:c r="J6" s="55" t="str"/>
      <x:c r="K6" s="58" t="n">
        <x:f>IF(OR(G6="",H6=""),0,IF(H6&lt;G6,1,0))</x:f>
        <x:v>0</x:v>
      </x:c>
    </x:row>
    <x:row r="7">
      <x:c r="A7" s="54" t="str">
        <x:v>MAP-003</x:v>
      </x:c>
      <x:c r="B7" s="55" t="str"/>
      <x:c r="C7" s="55" t="str"/>
      <x:c r="D7" s="55" t="str"/>
      <x:c r="E7" s="55" t="str"/>
      <x:c r="F7" s="55" t="str"/>
      <x:c r="G7" s="73" t="str"/>
      <x:c r="H7" s="73" t="str"/>
      <x:c r="I7" s="55" t="str"/>
      <x:c r="J7" s="55" t="str"/>
      <x:c r="K7" s="58" t="n">
        <x:f>IF(OR(G7="",H7=""),0,IF(H7&lt;G7,1,0))</x:f>
        <x:v>0</x:v>
      </x:c>
    </x:row>
    <x:row r="8">
      <x:c r="A8" s="54" t="str">
        <x:v>MAP-004</x:v>
      </x:c>
      <x:c r="B8" s="55" t="str"/>
      <x:c r="C8" s="55" t="str"/>
      <x:c r="D8" s="55" t="str"/>
      <x:c r="E8" s="55" t="str"/>
      <x:c r="F8" s="55" t="str"/>
      <x:c r="G8" s="73" t="str"/>
      <x:c r="H8" s="73" t="str"/>
      <x:c r="I8" s="55" t="str"/>
      <x:c r="J8" s="55" t="str"/>
      <x:c r="K8" s="58" t="n">
        <x:f>IF(OR(G8="",H8=""),0,IF(H8&lt;G8,1,0))</x:f>
        <x:v>0</x:v>
      </x:c>
    </x:row>
    <x:row r="9">
      <x:c r="A9" s="54" t="str">
        <x:v>MAP-005</x:v>
      </x:c>
      <x:c r="B9" s="55" t="str"/>
      <x:c r="C9" s="55" t="str"/>
      <x:c r="D9" s="55" t="str"/>
      <x:c r="E9" s="55" t="str"/>
      <x:c r="F9" s="55" t="str"/>
      <x:c r="G9" s="73" t="str"/>
      <x:c r="H9" s="73" t="str"/>
      <x:c r="I9" s="55" t="str"/>
      <x:c r="J9" s="55" t="str"/>
      <x:c r="K9" s="58" t="n">
        <x:f>IF(OR(G9="",H9=""),0,IF(H9&lt;G9,1,0))</x:f>
        <x:v>0</x:v>
      </x:c>
    </x:row>
    <x:row r="10">
      <x:c r="A10" s="54" t="str">
        <x:v>MAP-006</x:v>
      </x:c>
      <x:c r="B10" s="55" t="str"/>
      <x:c r="C10" s="55" t="str"/>
      <x:c r="D10" s="55" t="str"/>
      <x:c r="E10" s="55" t="str"/>
      <x:c r="F10" s="55" t="str"/>
      <x:c r="G10" s="73" t="str"/>
      <x:c r="H10" s="73" t="str"/>
      <x:c r="I10" s="55" t="str"/>
      <x:c r="J10" s="55" t="str"/>
      <x:c r="K10" s="58" t="n">
        <x:f>IF(OR(G10="",H10=""),0,IF(H10&lt;G10,1,0))</x:f>
        <x:v>0</x:v>
      </x:c>
    </x:row>
    <x:row r="11">
      <x:c r="A11" s="54" t="str">
        <x:v>MAP-007</x:v>
      </x:c>
      <x:c r="B11" s="55" t="str"/>
      <x:c r="C11" s="55" t="str"/>
      <x:c r="D11" s="55" t="str"/>
      <x:c r="E11" s="55" t="str"/>
      <x:c r="F11" s="55" t="str"/>
      <x:c r="G11" s="73" t="str"/>
      <x:c r="H11" s="73" t="str"/>
      <x:c r="I11" s="55" t="str"/>
      <x:c r="J11" s="55" t="str"/>
      <x:c r="K11" s="58" t="n">
        <x:f>IF(OR(G11="",H11=""),0,IF(H11&lt;G11,1,0))</x:f>
        <x:v>0</x:v>
      </x:c>
    </x:row>
    <x:row r="12">
      <x:c r="A12" s="54" t="str">
        <x:v>MAP-008</x:v>
      </x:c>
      <x:c r="B12" s="55" t="str"/>
      <x:c r="C12" s="55" t="str"/>
      <x:c r="D12" s="55" t="str"/>
      <x:c r="E12" s="55" t="str"/>
      <x:c r="F12" s="55" t="str"/>
      <x:c r="G12" s="73" t="str"/>
      <x:c r="H12" s="73" t="str"/>
      <x:c r="I12" s="55" t="str"/>
      <x:c r="J12" s="55" t="str"/>
      <x:c r="K12" s="58" t="n">
        <x:f>IF(OR(G12="",H12=""),0,IF(H12&lt;G12,1,0))</x:f>
        <x:v>0</x:v>
      </x:c>
    </x:row>
    <x:row r="13">
      <x:c r="A13" s="54" t="str">
        <x:v>MAP-009</x:v>
      </x:c>
      <x:c r="B13" s="55" t="str"/>
      <x:c r="C13" s="55" t="str"/>
      <x:c r="D13" s="55" t="str"/>
      <x:c r="E13" s="55" t="str"/>
      <x:c r="F13" s="55" t="str"/>
      <x:c r="G13" s="73" t="str"/>
      <x:c r="H13" s="73" t="str"/>
      <x:c r="I13" s="55" t="str"/>
      <x:c r="J13" s="55" t="str"/>
      <x:c r="K13" s="58" t="n">
        <x:f>IF(OR(G13="",H13=""),0,IF(H13&lt;G13,1,0))</x:f>
        <x:v>0</x:v>
      </x:c>
    </x:row>
    <x:row r="14">
      <x:c r="A14" s="54" t="str">
        <x:v>MAP-010</x:v>
      </x:c>
      <x:c r="B14" s="55" t="str"/>
      <x:c r="C14" s="55" t="str"/>
      <x:c r="D14" s="55" t="str"/>
      <x:c r="E14" s="55" t="str"/>
      <x:c r="F14" s="55" t="str"/>
      <x:c r="G14" s="73" t="str"/>
      <x:c r="H14" s="73" t="str"/>
      <x:c r="I14" s="55" t="str"/>
      <x:c r="J14" s="55" t="str"/>
      <x:c r="K14" s="58" t="n">
        <x:f>IF(OR(G14="",H14=""),0,IF(H14&lt;G14,1,0))</x:f>
        <x:v>0</x:v>
      </x:c>
    </x:row>
    <x:row r="15">
      <x:c r="A15" s="54" t="str">
        <x:v>MAP-011</x:v>
      </x:c>
      <x:c r="B15" s="55" t="str"/>
      <x:c r="C15" s="55" t="str"/>
      <x:c r="D15" s="55" t="str"/>
      <x:c r="E15" s="55" t="str"/>
      <x:c r="F15" s="55" t="str"/>
      <x:c r="G15" s="73" t="str"/>
      <x:c r="H15" s="73" t="str"/>
      <x:c r="I15" s="55" t="str"/>
      <x:c r="J15" s="55" t="str"/>
      <x:c r="K15" s="58" t="n">
        <x:f>IF(OR(G15="",H15=""),0,IF(H15&lt;G15,1,0))</x:f>
        <x:v>0</x:v>
      </x:c>
    </x:row>
    <x:row r="16">
      <x:c r="A16" s="54" t="str">
        <x:v>MAP-012</x:v>
      </x:c>
      <x:c r="B16" s="55" t="str"/>
      <x:c r="C16" s="55" t="str"/>
      <x:c r="D16" s="55" t="str"/>
      <x:c r="E16" s="55" t="str"/>
      <x:c r="F16" s="55" t="str"/>
      <x:c r="G16" s="73" t="str"/>
      <x:c r="H16" s="73" t="str"/>
      <x:c r="I16" s="55" t="str"/>
      <x:c r="J16" s="55" t="str"/>
      <x:c r="K16" s="58" t="n">
        <x:f>IF(OR(G16="",H16=""),0,IF(H16&lt;G16,1,0))</x:f>
        <x:v>0</x:v>
      </x:c>
    </x:row>
    <x:row r="17">
      <x:c r="A17" s="54" t="str">
        <x:v>MAP-013</x:v>
      </x:c>
      <x:c r="B17" s="55" t="str"/>
      <x:c r="C17" s="55" t="str"/>
      <x:c r="D17" s="55" t="str"/>
      <x:c r="E17" s="55" t="str"/>
      <x:c r="F17" s="55" t="str"/>
      <x:c r="G17" s="73" t="str"/>
      <x:c r="H17" s="73" t="str"/>
      <x:c r="I17" s="55" t="str"/>
      <x:c r="J17" s="55" t="str"/>
      <x:c r="K17" s="58" t="n">
        <x:f>IF(OR(G17="",H17=""),0,IF(H17&lt;G17,1,0))</x:f>
        <x:v>0</x:v>
      </x:c>
    </x:row>
    <x:row r="18">
      <x:c r="A18" s="54" t="str">
        <x:v>MAP-014</x:v>
      </x:c>
      <x:c r="B18" s="55" t="str"/>
      <x:c r="C18" s="55" t="str"/>
      <x:c r="D18" s="55" t="str"/>
      <x:c r="E18" s="55" t="str"/>
      <x:c r="F18" s="55" t="str"/>
      <x:c r="G18" s="73" t="str"/>
      <x:c r="H18" s="73" t="str"/>
      <x:c r="I18" s="55" t="str"/>
      <x:c r="J18" s="55" t="str"/>
      <x:c r="K18" s="58" t="n">
        <x:f>IF(OR(G18="",H18=""),0,IF(H18&lt;G18,1,0))</x:f>
        <x:v>0</x:v>
      </x:c>
    </x:row>
    <x:row r="19">
      <x:c r="A19" s="54" t="str">
        <x:v>MAP-015</x:v>
      </x:c>
      <x:c r="B19" s="55" t="str"/>
      <x:c r="C19" s="55" t="str"/>
      <x:c r="D19" s="55" t="str"/>
      <x:c r="E19" s="55" t="str"/>
      <x:c r="F19" s="55" t="str"/>
      <x:c r="G19" s="73" t="str"/>
      <x:c r="H19" s="73" t="str"/>
      <x:c r="I19" s="55" t="str"/>
      <x:c r="J19" s="55" t="str"/>
      <x:c r="K19" s="58" t="n">
        <x:f>IF(OR(G19="",H19=""),0,IF(H19&lt;G19,1,0))</x:f>
        <x:v>0</x:v>
      </x:c>
    </x:row>
    <x:row r="20">
      <x:c r="A20" s="54" t="str">
        <x:v>MAP-016</x:v>
      </x:c>
      <x:c r="B20" s="55" t="str"/>
      <x:c r="C20" s="55" t="str"/>
      <x:c r="D20" s="55" t="str"/>
      <x:c r="E20" s="55" t="str"/>
      <x:c r="F20" s="55" t="str"/>
      <x:c r="G20" s="73" t="str"/>
      <x:c r="H20" s="73" t="str"/>
      <x:c r="I20" s="55" t="str"/>
      <x:c r="J20" s="55" t="str"/>
      <x:c r="K20" s="58" t="n">
        <x:f>IF(OR(G20="",H20=""),0,IF(H20&lt;G20,1,0))</x:f>
        <x:v>0</x:v>
      </x:c>
    </x:row>
    <x:row r="21">
      <x:c r="A21" s="54" t="str">
        <x:v>MAP-017</x:v>
      </x:c>
      <x:c r="B21" s="55" t="str"/>
      <x:c r="C21" s="55" t="str"/>
      <x:c r="D21" s="55" t="str"/>
      <x:c r="E21" s="55" t="str"/>
      <x:c r="F21" s="55" t="str"/>
      <x:c r="G21" s="73" t="str"/>
      <x:c r="H21" s="73" t="str"/>
      <x:c r="I21" s="55" t="str"/>
      <x:c r="J21" s="55" t="str"/>
      <x:c r="K21" s="58" t="n">
        <x:f>IF(OR(G21="",H21=""),0,IF(H21&lt;G21,1,0))</x:f>
        <x:v>0</x:v>
      </x:c>
    </x:row>
    <x:row r="22">
      <x:c r="A22" s="54" t="str">
        <x:v>MAP-018</x:v>
      </x:c>
      <x:c r="B22" s="55" t="str"/>
      <x:c r="C22" s="55" t="str"/>
      <x:c r="D22" s="55" t="str"/>
      <x:c r="E22" s="55" t="str"/>
      <x:c r="F22" s="55" t="str"/>
      <x:c r="G22" s="73" t="str"/>
      <x:c r="H22" s="73" t="str"/>
      <x:c r="I22" s="55" t="str"/>
      <x:c r="J22" s="55" t="str"/>
      <x:c r="K22" s="58" t="n">
        <x:f>IF(OR(G22="",H22=""),0,IF(H22&lt;G22,1,0))</x:f>
        <x:v>0</x:v>
      </x:c>
    </x:row>
    <x:row r="23">
      <x:c r="A23" s="54" t="str">
        <x:v>MAP-019</x:v>
      </x:c>
      <x:c r="B23" s="55" t="str"/>
      <x:c r="C23" s="55" t="str"/>
      <x:c r="D23" s="55" t="str"/>
      <x:c r="E23" s="55" t="str"/>
      <x:c r="F23" s="55" t="str"/>
      <x:c r="G23" s="73" t="str"/>
      <x:c r="H23" s="73" t="str"/>
      <x:c r="I23" s="55" t="str"/>
      <x:c r="J23" s="55" t="str"/>
      <x:c r="K23" s="58" t="n">
        <x:f>IF(OR(G23="",H23=""),0,IF(H23&lt;G23,1,0))</x:f>
        <x:v>0</x:v>
      </x:c>
    </x:row>
    <x:row r="24">
      <x:c r="A24" s="54" t="str">
        <x:v>MAP-020</x:v>
      </x:c>
      <x:c r="B24" s="55" t="str"/>
      <x:c r="C24" s="55" t="str"/>
      <x:c r="D24" s="55" t="str"/>
      <x:c r="E24" s="55" t="str"/>
      <x:c r="F24" s="55" t="str"/>
      <x:c r="G24" s="73" t="str"/>
      <x:c r="H24" s="73" t="str"/>
      <x:c r="I24" s="55" t="str"/>
      <x:c r="J24" s="55" t="str"/>
      <x:c r="K24" s="58" t="n">
        <x:f>IF(OR(G24="",H24=""),0,IF(H24&lt;G24,1,0))</x:f>
        <x:v>0</x:v>
      </x:c>
    </x:row>
    <x:row r="25">
      <x:c r="A25" s="54" t="str">
        <x:v>MAP-021</x:v>
      </x:c>
      <x:c r="B25" s="55" t="str"/>
      <x:c r="C25" s="55" t="str"/>
      <x:c r="D25" s="55" t="str"/>
      <x:c r="E25" s="55" t="str"/>
      <x:c r="F25" s="55" t="str"/>
      <x:c r="G25" s="73" t="str"/>
      <x:c r="H25" s="73" t="str"/>
      <x:c r="I25" s="55" t="str"/>
      <x:c r="J25" s="55" t="str"/>
      <x:c r="K25" s="58" t="n">
        <x:f>IF(OR(G25="",H25=""),0,IF(H25&lt;G25,1,0))</x:f>
        <x:v>0</x:v>
      </x:c>
    </x:row>
    <x:row r="26">
      <x:c r="A26" s="54" t="str">
        <x:v>MAP-022</x:v>
      </x:c>
      <x:c r="B26" s="55" t="str"/>
      <x:c r="C26" s="55" t="str"/>
      <x:c r="D26" s="55" t="str"/>
      <x:c r="E26" s="55" t="str"/>
      <x:c r="F26" s="55" t="str"/>
      <x:c r="G26" s="73" t="str"/>
      <x:c r="H26" s="73" t="str"/>
      <x:c r="I26" s="55" t="str"/>
      <x:c r="J26" s="55" t="str"/>
      <x:c r="K26" s="58" t="n">
        <x:f>IF(OR(G26="",H26=""),0,IF(H26&lt;G26,1,0))</x:f>
        <x:v>0</x:v>
      </x:c>
    </x:row>
    <x:row r="27">
      <x:c r="A27" s="54" t="str">
        <x:v>MAP-023</x:v>
      </x:c>
      <x:c r="B27" s="55" t="str"/>
      <x:c r="C27" s="55" t="str"/>
      <x:c r="D27" s="55" t="str"/>
      <x:c r="E27" s="55" t="str"/>
      <x:c r="F27" s="55" t="str"/>
      <x:c r="G27" s="73" t="str"/>
      <x:c r="H27" s="73" t="str"/>
      <x:c r="I27" s="55" t="str"/>
      <x:c r="J27" s="55" t="str"/>
      <x:c r="K27" s="58" t="n">
        <x:f>IF(OR(G27="",H27=""),0,IF(H27&lt;G27,1,0))</x:f>
        <x:v>0</x:v>
      </x:c>
    </x:row>
    <x:row r="28">
      <x:c r="A28" s="54" t="str">
        <x:v>MAP-024</x:v>
      </x:c>
      <x:c r="B28" s="55" t="str"/>
      <x:c r="C28" s="55" t="str"/>
      <x:c r="D28" s="55" t="str"/>
      <x:c r="E28" s="55" t="str"/>
      <x:c r="F28" s="55" t="str"/>
      <x:c r="G28" s="73" t="str"/>
      <x:c r="H28" s="73" t="str"/>
      <x:c r="I28" s="55" t="str"/>
      <x:c r="J28" s="55" t="str"/>
      <x:c r="K28" s="58" t="n">
        <x:f>IF(OR(G28="",H28=""),0,IF(H28&lt;G28,1,0))</x:f>
        <x:v>0</x:v>
      </x:c>
    </x:row>
    <x:row r="29">
      <x:c r="A29" s="54" t="str">
        <x:v>MAP-025</x:v>
      </x:c>
      <x:c r="B29" s="55" t="str"/>
      <x:c r="C29" s="55" t="str"/>
      <x:c r="D29" s="55" t="str"/>
      <x:c r="E29" s="55" t="str"/>
      <x:c r="F29" s="55" t="str"/>
      <x:c r="G29" s="73" t="str"/>
      <x:c r="H29" s="73" t="str"/>
      <x:c r="I29" s="55" t="str"/>
      <x:c r="J29" s="55" t="str"/>
      <x:c r="K29" s="58" t="n">
        <x:f>IF(OR(G29="",H29=""),0,IF(H29&lt;G29,1,0))</x:f>
        <x:v>0</x:v>
      </x:c>
    </x:row>
    <x:row r="30">
      <x:c r="A30" s="54" t="str">
        <x:v>MAP-026</x:v>
      </x:c>
      <x:c r="B30" s="55" t="str"/>
      <x:c r="C30" s="55" t="str"/>
      <x:c r="D30" s="55" t="str"/>
      <x:c r="E30" s="55" t="str"/>
      <x:c r="F30" s="55" t="str"/>
      <x:c r="G30" s="73" t="str"/>
      <x:c r="H30" s="73" t="str"/>
      <x:c r="I30" s="55" t="str"/>
      <x:c r="J30" s="55" t="str"/>
      <x:c r="K30" s="58" t="n">
        <x:f>IF(OR(G30="",H30=""),0,IF(H30&lt;G30,1,0))</x:f>
        <x:v>0</x:v>
      </x:c>
    </x:row>
    <x:row r="31">
      <x:c r="A31" s="54" t="str">
        <x:v>MAP-027</x:v>
      </x:c>
      <x:c r="B31" s="55" t="str"/>
      <x:c r="C31" s="55" t="str"/>
      <x:c r="D31" s="55" t="str"/>
      <x:c r="E31" s="55" t="str"/>
      <x:c r="F31" s="55" t="str"/>
      <x:c r="G31" s="73" t="str"/>
      <x:c r="H31" s="73" t="str"/>
      <x:c r="I31" s="55" t="str"/>
      <x:c r="J31" s="55" t="str"/>
      <x:c r="K31" s="58" t="n">
        <x:f>IF(OR(G31="",H31=""),0,IF(H31&lt;G31,1,0))</x:f>
        <x:v>0</x:v>
      </x:c>
    </x:row>
    <x:row r="32">
      <x:c r="A32" s="54" t="str">
        <x:v>MAP-028</x:v>
      </x:c>
      <x:c r="B32" s="55" t="str"/>
      <x:c r="C32" s="55" t="str"/>
      <x:c r="D32" s="55" t="str"/>
      <x:c r="E32" s="55" t="str"/>
      <x:c r="F32" s="55" t="str"/>
      <x:c r="G32" s="73" t="str"/>
      <x:c r="H32" s="73" t="str"/>
      <x:c r="I32" s="55" t="str"/>
      <x:c r="J32" s="55" t="str"/>
      <x:c r="K32" s="58" t="n">
        <x:f>IF(OR(G32="",H32=""),0,IF(H32&lt;G32,1,0))</x:f>
        <x:v>0</x:v>
      </x:c>
    </x:row>
    <x:row r="33">
      <x:c r="A33" s="54" t="str">
        <x:v>MAP-029</x:v>
      </x:c>
      <x:c r="B33" s="55" t="str"/>
      <x:c r="C33" s="55" t="str"/>
      <x:c r="D33" s="55" t="str"/>
      <x:c r="E33" s="55" t="str"/>
      <x:c r="F33" s="55" t="str"/>
      <x:c r="G33" s="73" t="str"/>
      <x:c r="H33" s="73" t="str"/>
      <x:c r="I33" s="55" t="str"/>
      <x:c r="J33" s="55" t="str"/>
      <x:c r="K33" s="58" t="n">
        <x:f>IF(OR(G33="",H33=""),0,IF(H33&lt;G33,1,0))</x:f>
        <x:v>0</x:v>
      </x:c>
    </x:row>
    <x:row r="34">
      <x:c r="A34" s="54" t="str">
        <x:v>MAP-030</x:v>
      </x:c>
      <x:c r="B34" s="55" t="str"/>
      <x:c r="C34" s="55" t="str"/>
      <x:c r="D34" s="55" t="str"/>
      <x:c r="E34" s="55" t="str"/>
      <x:c r="F34" s="55" t="str"/>
      <x:c r="G34" s="73" t="str"/>
      <x:c r="H34" s="73" t="str"/>
      <x:c r="I34" s="55" t="str"/>
      <x:c r="J34" s="55" t="str"/>
      <x:c r="K34" s="58" t="n">
        <x:f>IF(OR(G34="",H34=""),0,IF(H34&lt;G34,1,0))</x:f>
        <x:v>0</x:v>
      </x:c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</x:row>
    <x:row r="36">
      <x:c r="A36" s="74" t="str">
        <x:v>规则：证据顺序号与证据册连续页码分开管理。成册前G/H留空；任何插页、删页、替换或重扫都会触发全册重编，并同步回填证据清单、目录、计算表和正文引用。</x:v>
      </x:c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</x:row>
  </x:sheetData>
  <x:mergeCells>
    <x:mergeCell ref="A1:K1"/>
    <x:mergeCell ref="A2:K2"/>
    <x:mergeCell ref="A36:K37"/>
  </x:mergeCells>
  <x:dataValidations count="1">
    <x:dataValidation type="whole" operator="between" sqref="G5:H34">
      <x:formula1>1</x:formula1>
      <x:formula2>99999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6" hidden="0" customWidth="1"/>
    <x:col min="3" max="3" width="15" hidden="0" customWidth="1"/>
    <x:col min="4" max="4" width="12" hidden="0" customWidth="1"/>
    <x:col min="5" max="5" width="13" hidden="0" customWidth="1"/>
    <x:col min="6" max="6" width="13" hidden="0" customWidth="1"/>
    <x:col min="7" max="7" width="28" hidden="0" customWidth="1"/>
    <x:col min="8" max="8" width="48" hidden="0" customWidth="1"/>
    <x:col min="9" max="9" width="18" hidden="0" customWidth="1"/>
    <x:col min="10" max="10" width="25" hidden="0" customWidth="1"/>
  </x:cols>
  <x:sheetData>
    <x:row r="1" ht="30" customHeight="1">
      <x:c r="A1" s="50" t="str">
        <x:v>法源与统计参数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32" customHeight="1">
      <x:c r="A2" s="51" t="str">
        <x:v>蓝色为来源参数。全国规则和交强险限额仍须按本案时点核验；地方统计值故意留空。</x:v>
      </x:c>
      <x:c r="B2" s="51"/>
      <x:c r="C2" s="51"/>
      <x:c r="D2" s="51"/>
      <x:c r="E2" s="51"/>
      <x:c r="F2" s="51"/>
      <x:c r="G2" s="51"/>
      <x:c r="H2" s="51"/>
      <x:c r="I2" s="51"/>
      <x:c r="J2" s="51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</x:row>
    <x:row r="4">
      <x:c r="A4" s="53" t="str">
        <x:v>参数ID</x:v>
      </x:c>
      <x:c r="B4" s="53" t="str">
        <x:v>参数名称</x:v>
      </x:c>
      <x:c r="C4" s="53" t="str">
        <x:v>数值</x:v>
      </x:c>
      <x:c r="D4" s="53" t="str">
        <x:v>单位</x:v>
      </x:c>
      <x:c r="E4" s="53" t="str">
        <x:v>适用起</x:v>
      </x:c>
      <x:c r="F4" s="53" t="str">
        <x:v>适用止</x:v>
      </x:c>
      <x:c r="G4" s="53" t="str">
        <x:v>发布机关/文件</x:v>
      </x:c>
      <x:c r="H4" s="53" t="str">
        <x:v>官方URL</x:v>
      </x:c>
      <x:c r="I4" s="53" t="str">
        <x:v>核验状态</x:v>
      </x:c>
      <x:c r="J4" s="53" t="str">
        <x:v>说明</x:v>
      </x:c>
    </x:row>
    <x:row r="5">
      <x:c r="A5" s="54" t="str">
        <x:v>PAR-BASE-Y</x:v>
      </x:c>
      <x:c r="B5" s="54" t="str">
        <x:v>赔偿基准年限</x:v>
      </x:c>
      <x:c r="C5" s="75" t="n">
        <x:v>20</x:v>
      </x:c>
      <x:c r="D5" s="56" t="str">
        <x:v>年</x:v>
      </x:c>
      <x:c r="E5" s="76" t="str"/>
      <x:c r="F5" s="76" t="str"/>
      <x:c r="G5" s="56" t="str">
        <x:v>人身损害赔偿司法解释</x:v>
      </x:c>
      <x:c r="H5" s="56" t="str">
        <x:v>https://www.court.gov.cn/fabu/xiangqing/357071.html</x:v>
      </x:c>
      <x:c r="I5" s="56" t="str">
        <x:v>基线待个案核验</x:v>
      </x:c>
      <x:c r="J5" s="56" t="str">
        <x:v>公式参数</x:v>
      </x:c>
    </x:row>
    <x:row r="6">
      <x:c r="A6" s="54" t="str">
        <x:v>PAR-AGE-60</x:v>
      </x:c>
      <x:c r="B6" s="54" t="str">
        <x:v>年龄折减起点</x:v>
      </x:c>
      <x:c r="C6" s="75" t="n">
        <x:v>60</x:v>
      </x:c>
      <x:c r="D6" s="56" t="str">
        <x:v>周岁</x:v>
      </x:c>
      <x:c r="E6" s="76" t="str"/>
      <x:c r="F6" s="76" t="str"/>
      <x:c r="G6" s="56" t="str">
        <x:v>人身损害赔偿司法解释</x:v>
      </x:c>
      <x:c r="H6" s="56" t="str">
        <x:v>https://www.court.gov.cn/fabu/xiangqing/357071.html</x:v>
      </x:c>
      <x:c r="I6" s="56" t="str">
        <x:v>基线待个案核验</x:v>
      </x:c>
      <x:c r="J6" s="56" t="str">
        <x:v>60周岁仍为20年</x:v>
      </x:c>
    </x:row>
    <x:row r="7">
      <x:c r="A7" s="54" t="str">
        <x:v>PAR-AGE-75</x:v>
      </x:c>
      <x:c r="B7" s="54" t="str">
        <x:v>最低年限年龄点</x:v>
      </x:c>
      <x:c r="C7" s="75" t="n">
        <x:v>75</x:v>
      </x:c>
      <x:c r="D7" s="56" t="str">
        <x:v>周岁</x:v>
      </x:c>
      <x:c r="E7" s="76" t="str"/>
      <x:c r="F7" s="76" t="str"/>
      <x:c r="G7" s="56" t="str">
        <x:v>人身损害赔偿司法解释</x:v>
      </x:c>
      <x:c r="H7" s="56" t="str">
        <x:v>https://www.court.gov.cn/fabu/xiangqing/357071.html</x:v>
      </x:c>
      <x:c r="I7" s="56" t="str">
        <x:v>基线待个案核验</x:v>
      </x:c>
      <x:c r="J7" s="56" t="str">
        <x:v>75周岁起5年</x:v>
      </x:c>
    </x:row>
    <x:row r="8">
      <x:c r="A8" s="54" t="str">
        <x:v>PAR-MIN-Y</x:v>
      </x:c>
      <x:c r="B8" s="54" t="str">
        <x:v>最低赔偿年限</x:v>
      </x:c>
      <x:c r="C8" s="75" t="n">
        <x:v>5</x:v>
      </x:c>
      <x:c r="D8" s="56" t="str">
        <x:v>年</x:v>
      </x:c>
      <x:c r="E8" s="76" t="str"/>
      <x:c r="F8" s="76" t="str"/>
      <x:c r="G8" s="56" t="str">
        <x:v>人身损害赔偿司法解释</x:v>
      </x:c>
      <x:c r="H8" s="56" t="str">
        <x:v>https://www.court.gov.cn/fabu/xiangqing/357071.html</x:v>
      </x:c>
      <x:c r="I8" s="56" t="str">
        <x:v>基线待个案核验</x:v>
      </x:c>
      <x:c r="J8" s="56" t="str">
        <x:v>公式参数</x:v>
      </x:c>
    </x:row>
    <x:row r="9">
      <x:c r="A9" s="54" t="str">
        <x:v>PAR-ADULT</x:v>
      </x:c>
      <x:c r="B9" s="54" t="str">
        <x:v>成年年龄</x:v>
      </x:c>
      <x:c r="C9" s="75" t="n">
        <x:v>18</x:v>
      </x:c>
      <x:c r="D9" s="56" t="str">
        <x:v>周岁</x:v>
      </x:c>
      <x:c r="E9" s="76" t="str"/>
      <x:c r="F9" s="76" t="str"/>
      <x:c r="G9" s="56" t="str">
        <x:v>民法典</x:v>
      </x:c>
      <x:c r="H9" s="56" t="str">
        <x:v>https://www.court.gov.cn/zixun/xiangqing/233181.html</x:v>
      </x:c>
      <x:c r="I9" s="56" t="str">
        <x:v>基线待个案核验</x:v>
      </x:c>
      <x:c r="J9" s="56" t="str">
        <x:v>未成年人扶养期</x:v>
      </x:c>
    </x:row>
    <x:row r="10">
      <x:c r="A10" s="54" t="str">
        <x:v>PAR-FUNERAL-M</x:v>
      </x:c>
      <x:c r="B10" s="54" t="str">
        <x:v>丧葬费月数</x:v>
      </x:c>
      <x:c r="C10" s="75" t="n">
        <x:v>6</x:v>
      </x:c>
      <x:c r="D10" s="56" t="str">
        <x:v>月</x:v>
      </x:c>
      <x:c r="E10" s="76" t="str"/>
      <x:c r="F10" s="76" t="str"/>
      <x:c r="G10" s="56" t="str">
        <x:v>人身损害赔偿司法解释</x:v>
      </x:c>
      <x:c r="H10" s="56" t="str">
        <x:v>https://www.court.gov.cn/fabu/xiangqing/357071.html</x:v>
      </x:c>
      <x:c r="I10" s="56" t="str">
        <x:v>基线待个案核验</x:v>
      </x:c>
      <x:c r="J10" s="56" t="str">
        <x:v>月平均工资×6</x:v>
      </x:c>
    </x:row>
    <x:row r="11">
      <x:c r="A11" s="54" t="str">
        <x:v>PAR-DAYS-Y</x:v>
      </x:c>
      <x:c r="B11" s="54" t="str">
        <x:v>日工资换算年计日</x:v>
      </x:c>
      <x:c r="C11" s="75" t="n">
        <x:v>365</x:v>
      </x:c>
      <x:c r="D11" s="56" t="str">
        <x:v>日</x:v>
      </x:c>
      <x:c r="E11" s="76" t="str"/>
      <x:c r="F11" s="76" t="str"/>
      <x:c r="G11" s="56" t="str">
        <x:v>人工选择</x:v>
      </x:c>
      <x:c r="H11" s="56" t="str"/>
      <x:c r="I11" s="56" t="str">
        <x:v>待核</x:v>
      </x:c>
      <x:c r="J11" s="56" t="str">
        <x:v>非全国统一固定口径</x:v>
      </x:c>
    </x:row>
    <x:row r="12">
      <x:c r="A12" s="54" t="str">
        <x:v>STAT-U</x:v>
      </x:c>
      <x:c r="B12" s="54" t="str">
        <x:v>城镇居民人均可支配收入</x:v>
      </x:c>
      <x:c r="C12" s="75" t="str"/>
      <x:c r="D12" s="56" t="str">
        <x:v>元/年</x:v>
      </x:c>
      <x:c r="E12" s="76" t="str"/>
      <x:c r="F12" s="76" t="str"/>
      <x:c r="G12" s="56" t="str">
        <x:v>当地统计部门</x:v>
      </x:c>
      <x:c r="H12" s="56" t="str"/>
      <x:c r="I12" s="56" t="str">
        <x:v>待补</x:v>
      </x:c>
      <x:c r="J12" s="56" t="str">
        <x:v>按一审辩论终结时上一统计年度</x:v>
      </x:c>
    </x:row>
    <x:row r="13">
      <x:c r="A13" s="54" t="str">
        <x:v>STAT-E</x:v>
      </x:c>
      <x:c r="B13" s="54" t="str">
        <x:v>城镇居民人均消费支出</x:v>
      </x:c>
      <x:c r="C13" s="75" t="str"/>
      <x:c r="D13" s="56" t="str">
        <x:v>元/年</x:v>
      </x:c>
      <x:c r="E13" s="76" t="str"/>
      <x:c r="F13" s="76" t="str"/>
      <x:c r="G13" s="56" t="str">
        <x:v>当地统计部门</x:v>
      </x:c>
      <x:c r="H13" s="56" t="str"/>
      <x:c r="I13" s="56" t="str">
        <x:v>待补</x:v>
      </x:c>
      <x:c r="J13" s="56" t="str">
        <x:v>被扶养人年度上限</x:v>
      </x:c>
    </x:row>
    <x:row r="14">
      <x:c r="A14" s="54" t="str">
        <x:v>STAT-W</x:v>
      </x:c>
      <x:c r="B14" s="54" t="str">
        <x:v>职工年平均工资</x:v>
      </x:c>
      <x:c r="C14" s="75" t="str"/>
      <x:c r="D14" s="56" t="str">
        <x:v>元/年</x:v>
      </x:c>
      <x:c r="E14" s="76" t="str"/>
      <x:c r="F14" s="76" t="str"/>
      <x:c r="G14" s="56" t="str">
        <x:v>当地统计部门</x:v>
      </x:c>
      <x:c r="H14" s="56" t="str"/>
      <x:c r="I14" s="56" t="str">
        <x:v>待补</x:v>
      </x:c>
      <x:c r="J14" s="56" t="str">
        <x:v>丧葬费参数</x:v>
      </x:c>
    </x:row>
    <x:row r="15">
      <x:c r="A15" s="54" t="str">
        <x:v>STAT-FOOD</x:v>
      </x:c>
      <x:c r="B15" s="54" t="str">
        <x:v>住院伙食补助标准</x:v>
      </x:c>
      <x:c r="C15" s="75" t="str"/>
      <x:c r="D15" s="56" t="str">
        <x:v>元/日</x:v>
      </x:c>
      <x:c r="E15" s="76" t="str"/>
      <x:c r="F15" s="76" t="str"/>
      <x:c r="G15" s="56" t="str">
        <x:v>本案适用的官方/法院来源</x:v>
      </x:c>
      <x:c r="H15" s="56" t="str"/>
      <x:c r="I15" s="56" t="str">
        <x:v>待补</x:v>
      </x:c>
      <x:c r="J15" s="56" t="str">
        <x:v>地方动态参数</x:v>
      </x:c>
    </x:row>
    <x:row r="16">
      <x:c r="A16" s="54" t="str">
        <x:v>STAT-NURSE</x:v>
      </x:c>
      <x:c r="B16" s="54" t="str">
        <x:v>护理费采用标准</x:v>
      </x:c>
      <x:c r="C16" s="75" t="str"/>
      <x:c r="D16" s="56" t="str">
        <x:v>元/日</x:v>
      </x:c>
      <x:c r="E16" s="76" t="str"/>
      <x:c r="F16" s="76" t="str"/>
      <x:c r="G16" s="56" t="str">
        <x:v>本案证据/地方来源</x:v>
      </x:c>
      <x:c r="H16" s="56" t="str"/>
      <x:c r="I16" s="56" t="str">
        <x:v>待补</x:v>
      </x:c>
      <x:c r="J16" s="56" t="str">
        <x:v>人工采用</x:v>
      </x:c>
    </x:row>
    <x:row r="17">
      <x:c r="A17" s="54" t="str">
        <x:v>STAT-NUTR</x:v>
      </x:c>
      <x:c r="B17" s="54" t="str">
        <x:v>营养费采用标准</x:v>
      </x:c>
      <x:c r="C17" s="75" t="str"/>
      <x:c r="D17" s="56" t="str">
        <x:v>元/日</x:v>
      </x:c>
      <x:c r="E17" s="76" t="str"/>
      <x:c r="F17" s="76" t="str"/>
      <x:c r="G17" s="56" t="str">
        <x:v>本案证据/地方来源</x:v>
      </x:c>
      <x:c r="H17" s="56" t="str"/>
      <x:c r="I17" s="56" t="str">
        <x:v>待补</x:v>
      </x:c>
      <x:c r="J17" s="56" t="str">
        <x:v>人工采用</x:v>
      </x:c>
    </x:row>
    <x:row r="18">
      <x:c r="A18" s="54" t="str">
        <x:v>JQ-CUR-R-D</x:v>
      </x:c>
      <x:c r="B18" s="54" t="str">
        <x:v>当前有责死亡伤残限额</x:v>
      </x:c>
      <x:c r="C18" s="75" t="n">
        <x:v>180000</x:v>
      </x:c>
      <x:c r="D18" s="56" t="str">
        <x:v>元</x:v>
      </x:c>
      <x:c r="E18" s="76" t="str">
        <x:v>2020-09-19</x:v>
      </x:c>
      <x:c r="F18" s="76" t="str"/>
      <x:c r="G18" s="56" t="str">
        <x:v>银保监公告〔2020〕2号</x:v>
      </x:c>
      <x:c r="H18" s="56" t="str">
        <x:v>https://www.nfra.gov.cn/cn/view/pages/ItemDetail.html?docId=928013&amp;generaltype=0&amp;itemId=925</x:v>
      </x:c>
      <x:c r="I18" s="56" t="str">
        <x:v>基线待个案核验</x:v>
      </x:c>
      <x:c r="J18" s="56" t="str">
        <x:v>事故时点适用</x:v>
      </x:c>
    </x:row>
    <x:row r="19">
      <x:c r="A19" s="54" t="str">
        <x:v>JQ-CUR-R-M</x:v>
      </x:c>
      <x:c r="B19" s="54" t="str">
        <x:v>当前有责医疗限额</x:v>
      </x:c>
      <x:c r="C19" s="75" t="n">
        <x:v>18000</x:v>
      </x:c>
      <x:c r="D19" s="56" t="str">
        <x:v>元</x:v>
      </x:c>
      <x:c r="E19" s="76" t="str">
        <x:v>2020-09-19</x:v>
      </x:c>
      <x:c r="F19" s="76" t="str"/>
      <x:c r="G19" s="56" t="str">
        <x:v>银保监公告〔2020〕2号</x:v>
      </x:c>
      <x:c r="H19" s="56" t="str">
        <x:v>https://www.nfra.gov.cn/cn/view/pages/ItemDetail.html?docId=928013&amp;generaltype=0&amp;itemId=925</x:v>
      </x:c>
      <x:c r="I19" s="56" t="str">
        <x:v>基线待个案核验</x:v>
      </x:c>
      <x:c r="J19" s="56" t="str">
        <x:v>事故时点适用</x:v>
      </x:c>
    </x:row>
    <x:row r="20">
      <x:c r="A20" s="54" t="str">
        <x:v>JQ-CUR-R-P</x:v>
      </x:c>
      <x:c r="B20" s="54" t="str">
        <x:v>当前有责财产限额</x:v>
      </x:c>
      <x:c r="C20" s="75" t="n">
        <x:v>2000</x:v>
      </x:c>
      <x:c r="D20" s="56" t="str">
        <x:v>元</x:v>
      </x:c>
      <x:c r="E20" s="76" t="str">
        <x:v>2020-09-19</x:v>
      </x:c>
      <x:c r="F20" s="76" t="str"/>
      <x:c r="G20" s="56" t="str">
        <x:v>银保监公告〔2020〕2号</x:v>
      </x:c>
      <x:c r="H20" s="56" t="str">
        <x:v>https://www.nfra.gov.cn/cn/view/pages/ItemDetail.html?docId=928013&amp;generaltype=0&amp;itemId=925</x:v>
      </x:c>
      <x:c r="I20" s="56" t="str">
        <x:v>基线待个案核验</x:v>
      </x:c>
      <x:c r="J20" s="56" t="str">
        <x:v>事故时点适用</x:v>
      </x:c>
    </x:row>
    <x:row r="21">
      <x:c r="A21" s="54" t="str">
        <x:v>JQ-CUR-N-D</x:v>
      </x:c>
      <x:c r="B21" s="54" t="str">
        <x:v>当前无责死亡伤残限额</x:v>
      </x:c>
      <x:c r="C21" s="75" t="n">
        <x:v>18000</x:v>
      </x:c>
      <x:c r="D21" s="56" t="str">
        <x:v>元</x:v>
      </x:c>
      <x:c r="E21" s="76" t="str">
        <x:v>2020-09-19</x:v>
      </x:c>
      <x:c r="F21" s="76" t="str"/>
      <x:c r="G21" s="56" t="str">
        <x:v>银保监公告〔2020〕2号</x:v>
      </x:c>
      <x:c r="H21" s="56" t="str">
        <x:v>https://www.nfra.gov.cn/cn/view/pages/ItemDetail.html?docId=928013&amp;generaltype=0&amp;itemId=925</x:v>
      </x:c>
      <x:c r="I21" s="56" t="str">
        <x:v>基线待个案核验</x:v>
      </x:c>
      <x:c r="J21" s="56" t="str">
        <x:v>须确认因果关系</x:v>
      </x:c>
    </x:row>
    <x:row r="22">
      <x:c r="A22" s="54" t="str">
        <x:v>JQ-CUR-N-M</x:v>
      </x:c>
      <x:c r="B22" s="54" t="str">
        <x:v>当前无责医疗限额</x:v>
      </x:c>
      <x:c r="C22" s="75" t="n">
        <x:v>1800</x:v>
      </x:c>
      <x:c r="D22" s="56" t="str">
        <x:v>元</x:v>
      </x:c>
      <x:c r="E22" s="76" t="str">
        <x:v>2020-09-19</x:v>
      </x:c>
      <x:c r="F22" s="76" t="str"/>
      <x:c r="G22" s="56" t="str">
        <x:v>银保监公告〔2020〕2号</x:v>
      </x:c>
      <x:c r="H22" s="56" t="str">
        <x:v>https://www.nfra.gov.cn/cn/view/pages/ItemDetail.html?docId=928013&amp;generaltype=0&amp;itemId=925</x:v>
      </x:c>
      <x:c r="I22" s="56" t="str">
        <x:v>基线待个案核验</x:v>
      </x:c>
      <x:c r="J22" s="56" t="str">
        <x:v>须确认因果关系</x:v>
      </x:c>
    </x:row>
    <x:row r="23">
      <x:c r="A23" s="54" t="str">
        <x:v>JQ-CUR-N-P</x:v>
      </x:c>
      <x:c r="B23" s="54" t="str">
        <x:v>当前无责财产限额</x:v>
      </x:c>
      <x:c r="C23" s="75" t="n">
        <x:v>100</x:v>
      </x:c>
      <x:c r="D23" s="56" t="str">
        <x:v>元</x:v>
      </x:c>
      <x:c r="E23" s="76" t="str">
        <x:v>2020-09-19</x:v>
      </x:c>
      <x:c r="F23" s="76" t="str"/>
      <x:c r="G23" s="56" t="str">
        <x:v>银保监公告〔2020〕2号</x:v>
      </x:c>
      <x:c r="H23" s="56" t="str">
        <x:v>https://www.nfra.gov.cn/cn/view/pages/ItemDetail.html?docId=928013&amp;generaltype=0&amp;itemId=925</x:v>
      </x:c>
      <x:c r="I23" s="56" t="str">
        <x:v>基线待个案核验</x:v>
      </x:c>
      <x:c r="J23" s="56" t="str">
        <x:v>须确认因果关系</x:v>
      </x:c>
    </x:row>
    <x:row r="24">
      <x:c r="A24" s="54" t="str">
        <x:v>JQ-OLD-R-D</x:v>
      </x:c>
      <x:c r="B24" s="54" t="str">
        <x:v>旧版有责死亡伤残限额</x:v>
      </x:c>
      <x:c r="C24" s="75" t="n">
        <x:v>110000</x:v>
      </x:c>
      <x:c r="D24" s="56" t="str">
        <x:v>元</x:v>
      </x:c>
      <x:c r="E24" s="76" t="str"/>
      <x:c r="F24" s="76" t="str">
        <x:v>2020-09-18</x:v>
      </x:c>
      <x:c r="G24" s="56" t="str">
        <x:v>历史交强险限额</x:v>
      </x:c>
      <x:c r="H24" s="56" t="str"/>
      <x:c r="I24" s="56" t="str">
        <x:v>历史基线待核</x:v>
      </x:c>
      <x:c r="J24" s="56" t="str">
        <x:v>仅旧事故</x:v>
      </x:c>
    </x:row>
    <x:row r="25">
      <x:c r="A25" s="54" t="str">
        <x:v>JQ-OLD-R-M</x:v>
      </x:c>
      <x:c r="B25" s="54" t="str">
        <x:v>旧版有责医疗限额</x:v>
      </x:c>
      <x:c r="C25" s="75" t="n">
        <x:v>10000</x:v>
      </x:c>
      <x:c r="D25" s="56" t="str">
        <x:v>元</x:v>
      </x:c>
      <x:c r="E25" s="76" t="str"/>
      <x:c r="F25" s="76" t="str">
        <x:v>2020-09-18</x:v>
      </x:c>
      <x:c r="G25" s="56" t="str">
        <x:v>历史交强险限额</x:v>
      </x:c>
      <x:c r="H25" s="56" t="str"/>
      <x:c r="I25" s="56" t="str">
        <x:v>历史基线待核</x:v>
      </x:c>
      <x:c r="J25" s="56" t="str">
        <x:v>仅旧事故</x:v>
      </x:c>
    </x:row>
    <x:row r="26">
      <x:c r="A26" s="54" t="str">
        <x:v>JQ-OLD-R-P</x:v>
      </x:c>
      <x:c r="B26" s="54" t="str">
        <x:v>旧版有责财产限额</x:v>
      </x:c>
      <x:c r="C26" s="75" t="n">
        <x:v>2000</x:v>
      </x:c>
      <x:c r="D26" s="56" t="str">
        <x:v>元</x:v>
      </x:c>
      <x:c r="E26" s="76" t="str"/>
      <x:c r="F26" s="76" t="str">
        <x:v>2020-09-18</x:v>
      </x:c>
      <x:c r="G26" s="56" t="str">
        <x:v>历史交强险限额</x:v>
      </x:c>
      <x:c r="H26" s="56" t="str"/>
      <x:c r="I26" s="56" t="str">
        <x:v>历史基线待核</x:v>
      </x:c>
      <x:c r="J26" s="56" t="str">
        <x:v>仅旧事故</x:v>
      </x:c>
    </x:row>
    <x:row r="27">
      <x:c r="A27" s="54" t="str">
        <x:v>JQ-OLD-N-D</x:v>
      </x:c>
      <x:c r="B27" s="54" t="str">
        <x:v>旧版无责死亡伤残限额</x:v>
      </x:c>
      <x:c r="C27" s="75" t="n">
        <x:v>11000</x:v>
      </x:c>
      <x:c r="D27" s="56" t="str">
        <x:v>元</x:v>
      </x:c>
      <x:c r="E27" s="76" t="str"/>
      <x:c r="F27" s="76" t="str">
        <x:v>2020-09-18</x:v>
      </x:c>
      <x:c r="G27" s="56" t="str">
        <x:v>历史交强险限额</x:v>
      </x:c>
      <x:c r="H27" s="56" t="str"/>
      <x:c r="I27" s="56" t="str">
        <x:v>历史基线待核</x:v>
      </x:c>
      <x:c r="J27" s="56" t="str">
        <x:v>仅旧事故</x:v>
      </x:c>
    </x:row>
    <x:row r="28">
      <x:c r="A28" s="54" t="str">
        <x:v>JQ-OLD-N-M</x:v>
      </x:c>
      <x:c r="B28" s="54" t="str">
        <x:v>旧版无责医疗限额</x:v>
      </x:c>
      <x:c r="C28" s="75" t="n">
        <x:v>1000</x:v>
      </x:c>
      <x:c r="D28" s="56" t="str">
        <x:v>元</x:v>
      </x:c>
      <x:c r="E28" s="76" t="str"/>
      <x:c r="F28" s="76" t="str">
        <x:v>2020-09-18</x:v>
      </x:c>
      <x:c r="G28" s="56" t="str">
        <x:v>历史交强险限额</x:v>
      </x:c>
      <x:c r="H28" s="56" t="str"/>
      <x:c r="I28" s="56" t="str">
        <x:v>历史基线待核</x:v>
      </x:c>
      <x:c r="J28" s="56" t="str">
        <x:v>仅旧事故</x:v>
      </x:c>
    </x:row>
    <x:row r="29">
      <x:c r="A29" s="54" t="str">
        <x:v>JQ-OLD-N-P</x:v>
      </x:c>
      <x:c r="B29" s="54" t="str">
        <x:v>旧版无责财产限额</x:v>
      </x:c>
      <x:c r="C29" s="75" t="n">
        <x:v>100</x:v>
      </x:c>
      <x:c r="D29" s="56" t="str">
        <x:v>元</x:v>
      </x:c>
      <x:c r="E29" s="76" t="str"/>
      <x:c r="F29" s="76" t="str">
        <x:v>2020-09-18</x:v>
      </x:c>
      <x:c r="G29" s="56" t="str">
        <x:v>历史交强险限额</x:v>
      </x:c>
      <x:c r="H29" s="56" t="str"/>
      <x:c r="I29" s="56" t="str">
        <x:v>历史基线待核</x:v>
      </x:c>
      <x:c r="J29" s="56" t="str">
        <x:v>仅旧事故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35" hidden="0" customWidth="1"/>
    <x:col min="4" max="4" width="46" hidden="0" customWidth="1"/>
  </x:cols>
  <x:sheetData>
    <x:row r="1" ht="30" customHeight="1">
      <x:c r="A1" s="50" t="str">
        <x:v>放行前核对报警</x:v>
      </x:c>
      <x:c r="B1" s="50"/>
      <x:c r="C1" s="50"/>
      <x:c r="D1" s="50"/>
    </x:row>
    <x:row r="2" ht="32" customHeight="1">
      <x:c r="A2" s="51" t="str">
        <x:v>任一BLOCK或09表FAIL时保持DRAFT。先修正源数据，不得手改报警结果。</x:v>
      </x:c>
      <x:c r="B2" s="51"/>
      <x:c r="C2" s="51"/>
      <x:c r="D2" s="51"/>
    </x:row>
    <x:row r="3">
      <x:c r="A3" s="52"/>
      <x:c r="B3" s="52"/>
      <x:c r="C3" s="52"/>
      <x:c r="D3" s="52"/>
    </x:row>
    <x:row r="4">
      <x:c r="A4" s="53" t="str">
        <x:v>检查ID</x:v>
      </x:c>
      <x:c r="B4" s="53" t="str">
        <x:v>状态</x:v>
      </x:c>
      <x:c r="C4" s="53" t="str">
        <x:v>检查事项</x:v>
      </x:c>
      <x:c r="D4" s="53" t="str">
        <x:v>修复动作</x:v>
      </x:c>
    </x:row>
    <x:row r="5">
      <x:c r="A5" s="54" t="str">
        <x:v>CHK-001</x:v>
      </x:c>
      <x:c r="B5" s="60" t="str">
        <x:f>IF('01_案件参数'!C7="","BLOCK：缺失","OK")</x:f>
        <x:v>BLOCK：缺失</x:v>
      </x:c>
      <x:c r="C5" s="54" t="str">
        <x:v>事故日期</x:v>
      </x:c>
      <x:c r="D5" s="54" t="str">
        <x:v>补录并核对事故认定书</x:v>
      </x:c>
    </x:row>
    <x:row r="6">
      <x:c r="A6" s="54" t="str">
        <x:v>CHK-002</x:v>
      </x:c>
      <x:c r="B6" s="60" t="str">
        <x:f>IF('01_案件参数'!C8="","BLOCK：缺失","OK")</x:f>
        <x:v>BLOCK：缺失</x:v>
      </x:c>
      <x:c r="C6" s="54" t="str">
        <x:v>受诉法院</x:v>
      </x:c>
      <x:c r="D6" s="54" t="str">
        <x:v>确认法院及统计采用地</x:v>
      </x:c>
    </x:row>
    <x:row r="7">
      <x:c r="A7" s="54" t="str">
        <x:v>CHK-003</x:v>
      </x:c>
      <x:c r="B7" s="60" t="str">
        <x:f>IF('01_案件参数'!C11="","BLOCK：缺失","OK")</x:f>
        <x:v>BLOCK：缺失</x:v>
      </x:c>
      <x:c r="C7" s="54" t="str">
        <x:v>损害模式</x:v>
      </x:c>
      <x:c r="D7" s="54" t="str">
        <x:v>选择伤残/死亡/仅财产</x:v>
      </x:c>
    </x:row>
    <x:row r="8">
      <x:c r="A8" s="54" t="str">
        <x:v>CHK-004</x:v>
      </x:c>
      <x:c r="B8" s="60" t="str">
        <x:f>IF(OR('01_案件参数'!C12="",'01_案件参数'!C15=""),"BLOCK：缺失","OK")</x:f>
        <x:v>BLOCK：缺失</x:v>
      </x:c>
      <x:c r="C8" s="54" t="str">
        <x:v>出生日期和基准日</x:v>
      </x:c>
      <x:c r="D8" s="54" t="str">
        <x:v>核对身份、定残日或死亡日</x:v>
      </x:c>
    </x:row>
    <x:row r="9">
      <x:c r="A9" s="54" t="str">
        <x:v>CHK-005</x:v>
      </x:c>
      <x:c r="B9" s="60" t="str">
        <x:f>IF('01_案件参数'!C10="待核","BLOCK：待核","OK")</x:f>
        <x:v>BLOCK：待核</x:v>
      </x:c>
      <x:c r="C9" s="54" t="str">
        <x:v>2026解释（二）开关</x:v>
      </x:c>
      <x:c r="D9" s="54" t="str">
        <x:v>结合是否终审人工判断</x:v>
      </x:c>
    </x:row>
    <x:row r="10">
      <x:c r="A10" s="54" t="str">
        <x:v>CHK-006</x:v>
      </x:c>
      <x:c r="B10" s="60" t="str">
        <x:f>IF(OR('07_法源参数'!C12="",'07_法源参数'!C13="",'07_法源参数'!C14="",'07_法源参数'!H12="",'07_法源参数'!H13="",'07_法源参数'!H14="",'07_法源参数'!I12&lt;&gt;"已核验",'07_法源参数'!I13&lt;&gt;"已核验",'07_法源参数'!I14&lt;&gt;"已核验"),"BLOCK：统计参数或来源未核验","OK")</x:f>
        <x:v>BLOCK：统计参数或来源未核验</x:v>
      </x:c>
      <x:c r="C10" s="54" t="str">
        <x:v>统计参数U/E/W及来源、核验状态</x:v>
      </x:c>
      <x:c r="D10" s="54" t="str">
        <x:v>在07表补齐数值、官方URL，并将核验状态改为“已核验”</x:v>
      </x:c>
    </x:row>
    <x:row r="11">
      <x:c r="A11" s="54" t="str">
        <x:v>CHK-007</x:v>
      </x:c>
      <x:c r="B11" s="60" t="str">
        <x:f>IF('01_案件参数'!C11&lt;&gt;"伤残","OK",IF(OR('01_案件参数'!C18="",'01_案件参数'!C18&lt;0,'01_案件参数'!C18&gt;1),"BLOCK：系数","OK"))</x:f>
        <x:v>OK</x:v>
      </x:c>
      <x:c r="C11" s="54" t="str">
        <x:v>伤残系数</x:v>
      </x:c>
      <x:c r="D11" s="54" t="str">
        <x:v>伤残模式下人工确认0%—100%</x:v>
      </x:c>
    </x:row>
    <x:row r="12">
      <x:c r="A12" s="54" t="str">
        <x:v>CHK-008</x:v>
      </x:c>
      <x:c r="B12" s="60" t="str">
        <x:f>IF(OR('01_案件参数'!C21="",'01_案件参数'!C22=""),"BLOCK：交强险参数",IF('01_案件参数'!C7="","BLOCK：先补事故日期",IF('07_法源参数'!E18="","BLOCK：改革基准日缺失",IF(AND('01_案件参数'!C7&lt;'07_法源参数'!E18,'01_案件参数'!C22="当前"),"BLOCK：事故日应核对旧版",IF(AND('01_案件参数'!C7&gt;='07_法源参数'!E18,'01_案件参数'!C22="旧版"),"BLOCK：事故日应核对当前","OK")))))</x:f>
        <x:v>BLOCK：交强险参数</x:v>
      </x:c>
      <x:c r="C12" s="54" t="str">
        <x:v>交强险版本与07表改革基准日</x:v>
      </x:c>
      <x:c r="D12" s="54" t="str">
        <x:v>补齐交强险参数；如基准日缺失，先核验07表后计算</x:v>
      </x:c>
    </x:row>
    <x:row r="13">
      <x:c r="A13" s="54" t="str">
        <x:v>CHK-009</x:v>
      </x:c>
      <x:c r="B13" s="60" t="str">
        <x:f>IF(OR('01_案件参数'!C29="",'01_案件参数'!C29&lt;0,'01_案件参数'!C29&gt;1),"BLOCK：责任比例",IF(AND(MAX(0,'04_保险分配'!B6-'04_保险分配'!B15)&gt;0,'01_案件参数'!C35="待核"),"BLOCK：精神损害口径","OK"))</x:f>
        <x:v>BLOCK：责任比例</x:v>
      </x:c>
      <x:c r="C13" s="54" t="str">
        <x:v>民事责任比例</x:v>
      </x:c>
      <x:c r="D13" s="54" t="str">
        <x:v>人工确认，不从交警责任机械换算</x:v>
      </x:c>
    </x:row>
    <x:row r="14">
      <x:c r="A14" s="54" t="str">
        <x:v>CHK-010</x:v>
      </x:c>
      <x:c r="B14" s="60" t="str">
        <x:f>IF(AND('01_案件参数'!C11="伤残",SUM('02_赔偿项目'!K17:K18)&gt;0),"BLOCK：混入死亡项目",IF(AND('01_案件参数'!C11="死亡",SUM('02_赔偿项目'!K13:K16)&gt;0),"BLOCK：混入伤残项目","OK"))</x:f>
        <x:v>OK</x:v>
      </x:c>
      <x:c r="C14" s="54" t="str">
        <x:v>伤残与死亡项目互斥</x:v>
      </x:c>
      <x:c r="D14" s="54" t="str">
        <x:v>关闭不适用项目的主张状态</x:v>
      </x:c>
    </x:row>
    <x:row r="15">
      <x:c r="A15" s="54" t="str">
        <x:v>CHK-011</x:v>
      </x:c>
      <x:c r="B15" s="60" t="str">
        <x:f>IF(ABS('04_保险分配'!B30)&gt;0.01,"BLOCK：差额","OK")</x:f>
        <x:v>OK</x:v>
      </x:c>
      <x:c r="C15" s="54" t="str">
        <x:v>保险分层差额</x:v>
      </x:c>
      <x:c r="D15" s="54" t="str">
        <x:v>追踪04表公式，必须0.00元</x:v>
      </x:c>
    </x:row>
    <x:row r="16">
      <x:c r="A16" s="54" t="str">
        <x:v>CHK-012</x:v>
      </x:c>
      <x:c r="B16" s="60" t="str">
        <x:f>'03_被扶养人'!O41</x:f>
        <x:v>OK</x:v>
      </x:c>
      <x:c r="C16" s="54" t="str">
        <x:v>被扶养人义务人数</x:v>
      </x:c>
      <x:c r="D16" s="54" t="str">
        <x:v>已录入人员不得为0</x:v>
      </x:c>
    </x:row>
    <x:row r="17">
      <x:c r="A17" s="54" t="str">
        <x:v>CHK-013</x:v>
      </x:c>
      <x:c r="B17" s="60" t="str">
        <x:f>IF('05_已付款'!E31&gt;0,"BLOCK：超额待说明","OK")</x:f>
        <x:v>OK</x:v>
      </x:c>
      <x:c r="C17" s="54" t="str">
        <x:v>已付款超额</x:v>
      </x:c>
      <x:c r="D17" s="54" t="str">
        <x:v>核对主体、指定层级和追偿</x:v>
      </x:c>
    </x:row>
    <x:row r="18">
      <x:c r="A18" s="54" t="str">
        <x:v>CHK-014</x:v>
      </x:c>
      <x:c r="B18" s="60" t="str">
        <x:f>IF(SUM('06_证据映射'!K5:K34)&gt;0,"BLOCK：页码倒置","OK")</x:f>
        <x:v>OK</x:v>
      </x:c>
      <x:c r="C18" s="54" t="str">
        <x:v>证据页码倒置</x:v>
      </x:c>
      <x:c r="D18" s="54" t="str">
        <x:v>以冻结证据册重填起止页</x:v>
      </x:c>
    </x:row>
    <x:row r="19">
      <x:c r="A19" s="54" t="str">
        <x:v>CHK-015</x:v>
      </x:c>
      <x:c r="B19" s="60" t="str">
        <x:f>IF(COUNTIF('02_赔偿项目'!J5:J26,"是")=0,"OK",IF(SUMPRODUCT(--('02_赔偿项目'!J5:J26="是"),--(COUNTIF('06_证据映射'!D5:D34,'02_赔偿项目'!A5:A26)=0))&gt;0,"BLOCK：主张项目缺映射","OK"))</x:f>
        <x:v>OK</x:v>
      </x:c>
      <x:c r="C19" s="54" t="str">
        <x:v>每个主张项目均有证据映射</x:v>
      </x:c>
      <x:c r="D19" s="54" t="str">
        <x:v>逐个主张DMG ID建立映射</x:v>
      </x:c>
    </x:row>
    <x:row r="20">
      <x:c r="A20" s="54" t="str">
        <x:v>CHK-016</x:v>
      </x:c>
      <x:c r="B20" s="60" t="str">
        <x:f>IF('09_边界测试'!F21="PASS","OK","BLOCK：测试失败")</x:f>
        <x:v>OK</x:v>
      </x:c>
      <x:c r="C20" s="54" t="str">
        <x:v>边界测试</x:v>
      </x:c>
      <x:c r="D20" s="54" t="str">
        <x:v>09表全部PASS</x:v>
      </x:c>
    </x:row>
    <x:row r="21">
      <x:c r="A21" s="52"/>
      <x:c r="B21" s="52"/>
      <x:c r="C21" s="52"/>
      <x:c r="D21" s="52"/>
    </x:row>
    <x:row r="22">
      <x:c r="A22" s="59" t="str">
        <x:v>总状态</x:v>
      </x:c>
      <x:c r="B22" s="77" t="str">
        <x:f>IF(OR(B5&lt;&gt;"OK",B6&lt;&gt;"OK",B7&lt;&gt;"OK",B8&lt;&gt;"OK",B9&lt;&gt;"OK",B10&lt;&gt;"OK",B11&lt;&gt;"OK",B12&lt;&gt;"OK",B13&lt;&gt;"OK",B14&lt;&gt;"OK",B15&lt;&gt;"OK",B16&lt;&gt;"OK",B17&lt;&gt;"OK",B18&lt;&gt;"OK",B19&lt;&gt;"OK",B20&lt;&gt;"OK"),"DRAFT","CHECK")</x:f>
        <x:v>DRAFT</x:v>
      </x:c>
      <x:c r="C22" s="59" t="str">
        <x:v>只有无BLOCK且人工复核完成后才可标记RELEASE</x:v>
      </x:c>
      <x:c r="D22" s="52"/>
    </x:row>
  </x:sheetData>
  <x:mergeCells>
    <x:mergeCell ref="A1:D1"/>
    <x:mergeCell ref="A2:D2"/>
  </x:mergeCells>
  <x:conditionalFormatting sqref="B5:B20">
    <x:cfRule type="containsText" dxfId="0" priority="1" operator="containsText" text="OK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36" hidden="0" customWidth="1"/>
    <x:col min="6" max="6" width="12" hidden="0" customWidth="1"/>
  </x:cols>
  <x:sheetData>
    <x:row r="1" ht="30" customHeight="1">
      <x:c r="A1" s="50" t="str">
        <x:v>公式边界测试</x:v>
      </x:c>
      <x:c r="B1" s="50"/>
      <x:c r="C1" s="50"/>
      <x:c r="D1" s="50"/>
      <x:c r="E1" s="50"/>
      <x:c r="F1" s="50"/>
    </x:row>
    <x:row r="2" ht="32" customHeight="1">
      <x:c r="A2" s="51" t="str">
        <x:v>测试值仅用于验证公式，不代表任何地区或案件事实。修改法定参数或公式后必须重新检查。</x:v>
      </x:c>
      <x:c r="B2" s="51"/>
      <x:c r="C2" s="51"/>
      <x:c r="D2" s="51"/>
      <x:c r="E2" s="51"/>
      <x:c r="F2" s="51"/>
    </x:row>
    <x:row r="3">
      <x:c r="A3" s="52"/>
      <x:c r="B3" s="52"/>
      <x:c r="C3" s="52"/>
      <x:c r="D3" s="52"/>
      <x:c r="E3" s="52"/>
      <x:c r="F3" s="52"/>
    </x:row>
    <x:row r="4">
      <x:c r="A4" s="53" t="str">
        <x:v>测试ID</x:v>
      </x:c>
      <x:c r="B4" s="53" t="str">
        <x:v>输入</x:v>
      </x:c>
      <x:c r="C4" s="53" t="str">
        <x:v>预期</x:v>
      </x:c>
      <x:c r="D4" s="53" t="str">
        <x:v>实际</x:v>
      </x:c>
      <x:c r="E4" s="53" t="str">
        <x:v>说明</x:v>
      </x:c>
      <x:c r="F4" s="53" t="str">
        <x:v>状态</x:v>
      </x:c>
    </x:row>
    <x:row r="5">
      <x:c r="A5" s="54" t="str">
        <x:v>AGE-59</x:v>
      </x:c>
      <x:c r="B5" s="55" t="n">
        <x:v>59</x:v>
      </x:c>
      <x:c r="C5" s="56" t="n">
        <x:v>20</x:v>
      </x:c>
      <x:c r="D5" s="58" t="n">
        <x:f>IF(B5&gt;='07_法源参数'!C7,'07_法源参数'!C8,IF(B5&gt;'07_法源参数'!C6,'07_法源参数'!C5-(B5-'07_法源参数'!C6),'07_法源参数'!C5))</x:f>
        <x:v>20</x:v>
      </x:c>
      <x:c r="E5" s="54" t="str">
        <x:v>年龄年限边界</x:v>
      </x:c>
      <x:c r="F5" s="59" t="str">
        <x:f>IF(C5=D5,"PASS","FAIL")</x:f>
        <x:v>PASS</x:v>
      </x:c>
    </x:row>
    <x:row r="6">
      <x:c r="A6" s="54" t="str">
        <x:v>AGE-60</x:v>
      </x:c>
      <x:c r="B6" s="55" t="n">
        <x:v>60</x:v>
      </x:c>
      <x:c r="C6" s="56" t="n">
        <x:v>20</x:v>
      </x:c>
      <x:c r="D6" s="58" t="n">
        <x:f>IF(B6&gt;='07_法源参数'!C7,'07_法源参数'!C8,IF(B6&gt;'07_法源参数'!C6,'07_法源参数'!C5-(B6-'07_法源参数'!C6),'07_法源参数'!C5))</x:f>
        <x:v>20</x:v>
      </x:c>
      <x:c r="E6" s="54" t="str">
        <x:v>年龄年限边界</x:v>
      </x:c>
      <x:c r="F6" s="59" t="str">
        <x:f>IF(C6=D6,"PASS","FAIL")</x:f>
        <x:v>PASS</x:v>
      </x:c>
    </x:row>
    <x:row r="7">
      <x:c r="A7" s="54" t="str">
        <x:v>AGE-61</x:v>
      </x:c>
      <x:c r="B7" s="55" t="n">
        <x:v>61</x:v>
      </x:c>
      <x:c r="C7" s="56" t="n">
        <x:v>19</x:v>
      </x:c>
      <x:c r="D7" s="58" t="n">
        <x:f>IF(B7&gt;='07_法源参数'!C7,'07_法源参数'!C8,IF(B7&gt;'07_法源参数'!C6,'07_法源参数'!C5-(B7-'07_法源参数'!C6),'07_法源参数'!C5))</x:f>
        <x:v>19</x:v>
      </x:c>
      <x:c r="E7" s="54" t="str">
        <x:v>年龄年限边界</x:v>
      </x:c>
      <x:c r="F7" s="59" t="str">
        <x:f>IF(C7=D7,"PASS","FAIL")</x:f>
        <x:v>PASS</x:v>
      </x:c>
    </x:row>
    <x:row r="8">
      <x:c r="A8" s="54" t="str">
        <x:v>AGE-74</x:v>
      </x:c>
      <x:c r="B8" s="55" t="n">
        <x:v>74</x:v>
      </x:c>
      <x:c r="C8" s="56" t="n">
        <x:v>6</x:v>
      </x:c>
      <x:c r="D8" s="58" t="n">
        <x:f>IF(B8&gt;='07_法源参数'!C7,'07_法源参数'!C8,IF(B8&gt;'07_法源参数'!C6,'07_法源参数'!C5-(B8-'07_法源参数'!C6),'07_法源参数'!C5))</x:f>
        <x:v>6</x:v>
      </x:c>
      <x:c r="E8" s="54" t="str">
        <x:v>年龄年限边界</x:v>
      </x:c>
      <x:c r="F8" s="59" t="str">
        <x:f>IF(C8=D8,"PASS","FAIL")</x:f>
        <x:v>PASS</x:v>
      </x:c>
    </x:row>
    <x:row r="9">
      <x:c r="A9" s="54" t="str">
        <x:v>AGE-75</x:v>
      </x:c>
      <x:c r="B9" s="55" t="n">
        <x:v>75</x:v>
      </x:c>
      <x:c r="C9" s="56" t="n">
        <x:v>5</x:v>
      </x:c>
      <x:c r="D9" s="58" t="n">
        <x:f>IF(B9&gt;='07_法源参数'!C7,'07_法源参数'!C8,IF(B9&gt;'07_法源参数'!C6,'07_法源参数'!C5-(B9-'07_法源参数'!C6),'07_法源参数'!C5))</x:f>
        <x:v>5</x:v>
      </x:c>
      <x:c r="E9" s="54" t="str">
        <x:v>年龄年限边界</x:v>
      </x:c>
      <x:c r="F9" s="59" t="str">
        <x:f>IF(C9=D9,"PASS","FAIL")</x:f>
        <x:v>PASS</x:v>
      </x:c>
    </x:row>
    <x:row r="10">
      <x:c r="A10" s="54" t="str">
        <x:v>AGE-76</x:v>
      </x:c>
      <x:c r="B10" s="55" t="n">
        <x:v>76</x:v>
      </x:c>
      <x:c r="C10" s="56" t="n">
        <x:v>5</x:v>
      </x:c>
      <x:c r="D10" s="58" t="n">
        <x:f>IF(B10&gt;='07_法源参数'!C7,'07_法源参数'!C8,IF(B10&gt;'07_法源参数'!C6,'07_法源参数'!C5-(B10-'07_法源参数'!C6),'07_法源参数'!C5))</x:f>
        <x:v>5</x:v>
      </x:c>
      <x:c r="E10" s="54" t="str">
        <x:v>年龄年限边界</x:v>
      </x:c>
      <x:c r="F10" s="59" t="str">
        <x:f>IF(C10=D10,"PASS","FAIL")</x:f>
        <x:v>PASS</x:v>
      </x:c>
    </x:row>
    <x:row r="11">
      <x:c r="A11" s="54" t="str">
        <x:v>DEP-CAP-HIGH</x:v>
      </x:c>
      <x:c r="B11" s="67" t="n">
        <x:v>54000</x:v>
      </x:c>
      <x:c r="C11" s="78" t="n">
        <x:v>30000</x:v>
      </x:c>
      <x:c r="D11" s="66" t="n">
        <x:f>MIN(B11,30000)</x:f>
        <x:v>30000</x:v>
      </x:c>
      <x:c r="E11" s="54" t="str">
        <x:v>多人年度原始额超过30000上限</x:v>
      </x:c>
      <x:c r="F11" s="59" t="str">
        <x:f>IF(C11=D11,"PASS","FAIL")</x:f>
        <x:v>PASS</x:v>
      </x:c>
    </x:row>
    <x:row r="12">
      <x:c r="A12" s="54" t="str">
        <x:v>DEP-CAP-LOW</x:v>
      </x:c>
      <x:c r="B12" s="67" t="n">
        <x:v>18000</x:v>
      </x:c>
      <x:c r="C12" s="78" t="n">
        <x:v>18000</x:v>
      </x:c>
      <x:c r="D12" s="66" t="n">
        <x:f>MIN(B12,30000)</x:f>
        <x:v>18000</x:v>
      </x:c>
      <x:c r="E12" s="54" t="str">
        <x:v>年度原始额低于上限</x:v>
      </x:c>
      <x:c r="F12" s="59" t="str">
        <x:f>IF(C12=D12,"PASS","FAIL")</x:f>
        <x:v>PASS</x:v>
      </x:c>
    </x:row>
    <x:row r="13">
      <x:c r="A13" s="54" t="str">
        <x:v>JQ-MED-LOW</x:v>
      </x:c>
      <x:c r="B13" s="67" t="n">
        <x:v>17000</x:v>
      </x:c>
      <x:c r="C13" s="78" t="n">
        <x:v>17000</x:v>
      </x:c>
      <x:c r="D13" s="66" t="n">
        <x:f>MIN(B13,18000)</x:f>
        <x:v>17000</x:v>
      </x:c>
      <x:c r="E13" s="54" t="str">
        <x:v>医疗损失低于18000限额</x:v>
      </x:c>
      <x:c r="F13" s="59" t="str">
        <x:f>IF(C13=D13,"PASS","FAIL")</x:f>
        <x:v>PASS</x:v>
      </x:c>
    </x:row>
    <x:row r="14">
      <x:c r="A14" s="54" t="str">
        <x:v>JQ-MED-HIGH</x:v>
      </x:c>
      <x:c r="B14" s="67" t="n">
        <x:v>20000</x:v>
      </x:c>
      <x:c r="C14" s="78" t="n">
        <x:v>18000</x:v>
      </x:c>
      <x:c r="D14" s="66" t="n">
        <x:f>MIN(B14,18000)</x:f>
        <x:v>18000</x:v>
      </x:c>
      <x:c r="E14" s="54" t="str">
        <x:v>医疗损失超过18000限额</x:v>
      </x:c>
      <x:c r="F14" s="59" t="str">
        <x:f>IF(C14=D14,"PASS","FAIL")</x:f>
        <x:v>PASS</x:v>
      </x:c>
    </x:row>
    <x:row r="15">
      <x:c r="A15" s="54" t="str">
        <x:v>LAYER-SIMPLE</x:v>
      </x:c>
      <x:c r="B15" s="67" t="n">
        <x:v>172000</x:v>
      </x:c>
      <x:c r="C15" s="78" t="n">
        <x:v>1400</x:v>
      </x:c>
      <x:c r="D15" s="66" t="n">
        <x:f>(B15-170000)*70%</x:f>
        <x:v>1400</x:v>
      </x:c>
      <x:c r="E15" s="54" t="str">
        <x:v>交强险170000后余额2000×70%</x:v>
      </x:c>
      <x:c r="F15" s="59" t="str">
        <x:f>IF(C15=D15,"PASS","FAIL")</x:f>
        <x:v>PASS</x:v>
      </x:c>
    </x:row>
    <x:row r="16">
      <x:c r="A16" s="54" t="str">
        <x:v>JQ-OLD-D</x:v>
      </x:c>
      <x:c r="B16" s="67" t="n">
        <x:v>110000</x:v>
      </x:c>
      <x:c r="C16" s="78" t="n">
        <x:v>110000</x:v>
      </x:c>
      <x:c r="D16" s="66" t="n">
        <x:f>'07_法源参数'!C24</x:f>
        <x:v>110000</x:v>
      </x:c>
      <x:c r="E16" s="54" t="str">
        <x:v>旧版有责死亡伤残限额</x:v>
      </x:c>
      <x:c r="F16" s="59" t="str">
        <x:f>IF(C16=D16,"PASS","FAIL")</x:f>
        <x:v>PASS</x:v>
      </x:c>
    </x:row>
    <x:row r="17">
      <x:c r="A17" s="54" t="str">
        <x:v>JQ-CUR-D</x:v>
      </x:c>
      <x:c r="B17" s="67" t="n">
        <x:v>180000</x:v>
      </x:c>
      <x:c r="C17" s="78" t="n">
        <x:v>180000</x:v>
      </x:c>
      <x:c r="D17" s="66" t="n">
        <x:f>'07_法源参数'!C18</x:f>
        <x:v>180000</x:v>
      </x:c>
      <x:c r="E17" s="54" t="str">
        <x:v>当前有责死亡伤残限额</x:v>
      </x:c>
      <x:c r="F17" s="59" t="str">
        <x:f>IF(C17=D17,"PASS","FAIL")</x:f>
        <x:v>PASS</x:v>
      </x:c>
    </x:row>
    <x:row r="18">
      <x:c r="A18" s="54" t="str">
        <x:v>JQ-NO-CROSS</x:v>
      </x:c>
      <x:c r="B18" s="67" t="n">
        <x:v>200000</x:v>
      </x:c>
      <x:c r="C18" s="78" t="n">
        <x:v>180000</x:v>
      </x:c>
      <x:c r="D18" s="66" t="n">
        <x:f>MIN(B18,'07_法源参数'!C18)</x:f>
        <x:v>180000</x:v>
      </x:c>
      <x:c r="E18" s="54" t="str">
        <x:v>死亡伤残分项不得借用医疗/财产余额</x:v>
      </x:c>
      <x:c r="F18" s="59" t="str">
        <x:f>IF(C18=D18,"PASS","FAIL")</x:f>
        <x:v>PASS</x:v>
      </x:c>
    </x:row>
    <x:row r="19">
      <x:c r="A19" s="52"/>
      <x:c r="B19" s="52"/>
      <x:c r="C19" s="52"/>
      <x:c r="D19" s="52"/>
      <x:c r="E19" s="52"/>
      <x:c r="F19" s="52"/>
    </x:row>
    <x:row r="20">
      <x:c r="A20" s="52"/>
      <x:c r="B20" s="52"/>
      <x:c r="C20" s="52"/>
      <x:c r="D20" s="52"/>
      <x:c r="E20" s="52"/>
      <x:c r="F20" s="52"/>
    </x:row>
    <x:row r="21">
      <x:c r="A21" s="59" t="str">
        <x:v>总体</x:v>
      </x:c>
      <x:c r="B21" s="59" t="str"/>
      <x:c r="C21" s="59" t="str"/>
      <x:c r="D21" s="59" t="str"/>
      <x:c r="E21" s="59" t="str">
        <x:v>全部固定边界测试</x:v>
      </x:c>
      <x:c r="F21" s="59" t="str">
        <x:f>IF(COUNTIF(F5:F18,"FAIL")=0,"PASS","FAIL")</x:f>
        <x:v>PASS</x:v>
      </x:c>
    </x:row>
  </x:sheetData>
  <x:mergeCells>
    <x:mergeCell ref="A1:F1"/>
    <x:mergeCell ref="A2:F2"/>
  </x:mergeCells>
  <x:conditionalFormatting sqref="F5:F21">
    <x:cfRule type="containsText" dxfId="1" priority="1" operator="containsText" text="FAIL"/>
  </x:conditionalFormatting>
  <x:pageMargins left="0.7" right="0.7" top="0.75" bottom="0.75" header="0.3" footer="0.3"/>
</x:worksheet>
</file>